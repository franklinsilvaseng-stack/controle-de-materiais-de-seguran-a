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d9e1db35e209c2f/Documentos/BRT/Administrativo/Almoxarifado/"/>
    </mc:Choice>
  </mc:AlternateContent>
  <xr:revisionPtr revIDLastSave="2" documentId="8_{12E1D173-9B1C-466E-961F-8BE513E488D0}" xr6:coauthVersionLast="47" xr6:coauthVersionMax="47" xr10:uidLastSave="{689A74FF-7E29-46E9-8057-6090A7A2638F}"/>
  <bookViews>
    <workbookView xWindow="-120" yWindow="-120" windowWidth="20730" windowHeight="11040" activeTab="1" xr2:uid="{00000000-000D-0000-FFFF-FFFF00000000}"/>
  </bookViews>
  <sheets>
    <sheet name="Movimentações" sheetId="1" r:id="rId1"/>
    <sheet name="Resumo de Estoque" sheetId="2" r:id="rId2"/>
    <sheet name="Inventário" sheetId="3" state="hidden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3" i="1" l="1"/>
  <c r="G14" i="1"/>
  <c r="B87" i="2"/>
  <c r="C38" i="2"/>
  <c r="B38" i="2"/>
  <c r="C37" i="2"/>
  <c r="B37" i="2"/>
  <c r="E101" i="2"/>
  <c r="C101" i="2"/>
  <c r="B101" i="2"/>
  <c r="E100" i="2"/>
  <c r="C100" i="2"/>
  <c r="B100" i="2"/>
  <c r="E99" i="2"/>
  <c r="C99" i="2"/>
  <c r="B99" i="2"/>
  <c r="E98" i="2"/>
  <c r="C98" i="2"/>
  <c r="B98" i="2"/>
  <c r="C97" i="2"/>
  <c r="B97" i="2"/>
  <c r="C96" i="2"/>
  <c r="B96" i="2"/>
  <c r="C95" i="2"/>
  <c r="B95" i="2"/>
  <c r="C94" i="2"/>
  <c r="B94" i="2"/>
  <c r="C93" i="2"/>
  <c r="B93" i="2"/>
  <c r="E93" i="2" s="1"/>
  <c r="C92" i="2"/>
  <c r="B92" i="2"/>
  <c r="C91" i="2"/>
  <c r="B91" i="2"/>
  <c r="C90" i="2"/>
  <c r="B90" i="2"/>
  <c r="E90" i="2" s="1"/>
  <c r="C89" i="2"/>
  <c r="B89" i="2"/>
  <c r="C88" i="2"/>
  <c r="B88" i="2"/>
  <c r="C87" i="2"/>
  <c r="C86" i="2"/>
  <c r="B86" i="2"/>
  <c r="C85" i="2"/>
  <c r="B85" i="2"/>
  <c r="C84" i="2"/>
  <c r="B84" i="2"/>
  <c r="C83" i="2"/>
  <c r="B83" i="2"/>
  <c r="C82" i="2"/>
  <c r="B82" i="2"/>
  <c r="C81" i="2"/>
  <c r="B81" i="2"/>
  <c r="E81" i="2" s="1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E71" i="2" s="1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G17" i="1"/>
  <c r="G124" i="1"/>
  <c r="G123" i="1"/>
  <c r="G122" i="1"/>
  <c r="G121" i="1"/>
  <c r="G120" i="1"/>
  <c r="G119" i="1"/>
  <c r="G118" i="1"/>
  <c r="G117" i="1"/>
  <c r="G116" i="1"/>
  <c r="G115" i="1"/>
  <c r="G114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4" i="3"/>
  <c r="F101" i="2"/>
  <c r="D101" i="2"/>
  <c r="F100" i="2"/>
  <c r="D100" i="2"/>
  <c r="F99" i="2"/>
  <c r="D99" i="2"/>
  <c r="F98" i="2"/>
  <c r="D98" i="2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E97" i="2" l="1"/>
  <c r="F97" i="2" s="1"/>
  <c r="D97" i="2"/>
  <c r="E96" i="2"/>
  <c r="E94" i="2"/>
  <c r="E95" i="2"/>
  <c r="E86" i="2"/>
  <c r="E84" i="2"/>
  <c r="E72" i="2"/>
  <c r="E78" i="2"/>
  <c r="E67" i="2"/>
  <c r="E73" i="2"/>
  <c r="E79" i="2"/>
  <c r="E68" i="2"/>
  <c r="E74" i="2"/>
  <c r="E32" i="2"/>
  <c r="E70" i="2"/>
  <c r="E76" i="2"/>
  <c r="E77" i="2"/>
  <c r="E89" i="2"/>
  <c r="E88" i="2"/>
  <c r="E83" i="2"/>
  <c r="E80" i="2"/>
  <c r="E91" i="2"/>
  <c r="E82" i="2"/>
  <c r="E66" i="2"/>
  <c r="E37" i="2"/>
  <c r="E85" i="2"/>
  <c r="E87" i="2"/>
  <c r="E64" i="2"/>
  <c r="E61" i="2"/>
  <c r="E38" i="2"/>
  <c r="E65" i="2"/>
  <c r="E50" i="2"/>
  <c r="E49" i="2"/>
  <c r="E48" i="2"/>
  <c r="E47" i="2"/>
  <c r="E46" i="2"/>
  <c r="E45" i="2"/>
  <c r="E44" i="2"/>
  <c r="E43" i="2"/>
  <c r="E42" i="2"/>
  <c r="E41" i="2"/>
  <c r="E40" i="2"/>
  <c r="E12" i="2"/>
  <c r="E31" i="2"/>
  <c r="E15" i="2"/>
  <c r="E11" i="2"/>
  <c r="E25" i="2"/>
  <c r="E14" i="2"/>
  <c r="E28" i="2"/>
  <c r="E26" i="2"/>
  <c r="E6" i="2"/>
  <c r="E29" i="2"/>
  <c r="E10" i="2"/>
  <c r="E9" i="2"/>
  <c r="E21" i="2"/>
  <c r="E20" i="2"/>
  <c r="E19" i="2"/>
  <c r="E22" i="2"/>
  <c r="E30" i="2"/>
  <c r="E62" i="2"/>
  <c r="E59" i="2"/>
  <c r="E57" i="2"/>
  <c r="E55" i="2"/>
  <c r="E53" i="2"/>
  <c r="E52" i="2"/>
  <c r="E51" i="2"/>
  <c r="E35" i="2"/>
  <c r="E5" i="2"/>
  <c r="E24" i="2"/>
  <c r="E27" i="2"/>
  <c r="E23" i="2"/>
  <c r="E18" i="2"/>
  <c r="E8" i="2"/>
  <c r="E4" i="2"/>
  <c r="E16" i="2"/>
  <c r="E17" i="2"/>
  <c r="E69" i="2"/>
  <c r="E92" i="2"/>
  <c r="E75" i="2"/>
  <c r="E63" i="2"/>
  <c r="E60" i="2"/>
  <c r="E58" i="2"/>
  <c r="E56" i="2"/>
  <c r="E54" i="2"/>
  <c r="E33" i="2"/>
  <c r="E7" i="2"/>
  <c r="E36" i="2"/>
  <c r="E39" i="2"/>
  <c r="E34" i="2"/>
  <c r="E13" i="2"/>
  <c r="D94" i="2"/>
  <c r="F94" i="2" s="1"/>
  <c r="D95" i="2"/>
  <c r="D96" i="2"/>
  <c r="F96" i="2" s="1"/>
  <c r="D93" i="2"/>
  <c r="F93" i="2" s="1"/>
  <c r="D89" i="2"/>
  <c r="D91" i="2"/>
  <c r="D88" i="2"/>
  <c r="D92" i="2"/>
  <c r="D90" i="2"/>
  <c r="F90" i="2" s="1"/>
  <c r="D85" i="2"/>
  <c r="D87" i="2"/>
  <c r="D86" i="2"/>
  <c r="D84" i="2"/>
  <c r="D83" i="2"/>
  <c r="D82" i="2"/>
  <c r="D81" i="2"/>
  <c r="D80" i="2"/>
  <c r="D79" i="2"/>
  <c r="D78" i="2"/>
  <c r="D69" i="2"/>
  <c r="D67" i="2"/>
  <c r="D75" i="2"/>
  <c r="D61" i="2"/>
  <c r="D68" i="2"/>
  <c r="D62" i="2"/>
  <c r="D63" i="2"/>
  <c r="D73" i="2"/>
  <c r="D74" i="2"/>
  <c r="D72" i="2"/>
  <c r="D65" i="2"/>
  <c r="D77" i="2"/>
  <c r="D70" i="2"/>
  <c r="D66" i="2"/>
  <c r="D71" i="2"/>
  <c r="D64" i="2"/>
  <c r="D76" i="2"/>
  <c r="D60" i="2"/>
  <c r="D55" i="2"/>
  <c r="D54" i="2"/>
  <c r="D59" i="2"/>
  <c r="D58" i="2"/>
  <c r="D57" i="2"/>
  <c r="D56" i="2"/>
  <c r="D53" i="2"/>
  <c r="D52" i="2"/>
  <c r="D51" i="2"/>
  <c r="D50" i="2"/>
  <c r="D49" i="2"/>
  <c r="D48" i="2"/>
  <c r="D47" i="2"/>
  <c r="D46" i="2"/>
  <c r="D45" i="2"/>
  <c r="D44" i="2"/>
  <c r="D43" i="2"/>
  <c r="D42" i="2"/>
  <c r="D39" i="2"/>
  <c r="D41" i="2"/>
  <c r="D40" i="2"/>
  <c r="D38" i="2"/>
  <c r="D37" i="2"/>
  <c r="D29" i="2"/>
  <c r="D7" i="2"/>
  <c r="D4" i="2"/>
  <c r="D36" i="2"/>
  <c r="D35" i="2"/>
  <c r="D34" i="2"/>
  <c r="D33" i="2"/>
  <c r="D32" i="2"/>
  <c r="D31" i="2"/>
  <c r="D30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6" i="2"/>
  <c r="D5" i="2"/>
  <c r="F91" i="2" l="1"/>
  <c r="F95" i="2"/>
  <c r="F92" i="2"/>
  <c r="F89" i="2"/>
  <c r="F88" i="2"/>
  <c r="F87" i="2"/>
  <c r="F77" i="2"/>
  <c r="F85" i="2"/>
  <c r="F82" i="2"/>
  <c r="F81" i="2"/>
  <c r="F78" i="2"/>
  <c r="F86" i="2"/>
  <c r="F80" i="2"/>
  <c r="F16" i="2"/>
  <c r="F84" i="2"/>
  <c r="F83" i="2"/>
  <c r="F79" i="2"/>
  <c r="F66" i="2"/>
  <c r="F37" i="2"/>
  <c r="F65" i="2"/>
  <c r="F72" i="2"/>
  <c r="F63" i="2"/>
  <c r="F64" i="2"/>
  <c r="F68" i="2"/>
  <c r="F70" i="2"/>
  <c r="F67" i="2"/>
  <c r="F73" i="2"/>
  <c r="F76" i="2"/>
  <c r="F62" i="2"/>
  <c r="F71" i="2"/>
  <c r="F61" i="2"/>
  <c r="F69" i="2"/>
  <c r="F74" i="2"/>
  <c r="F75" i="2"/>
  <c r="F60" i="2"/>
  <c r="F40" i="2"/>
  <c r="F55" i="2"/>
  <c r="F41" i="2"/>
  <c r="F54" i="2"/>
  <c r="F57" i="2"/>
  <c r="F52" i="2"/>
  <c r="F46" i="2"/>
  <c r="F42" i="2"/>
  <c r="F45" i="2"/>
  <c r="F43" i="2"/>
  <c r="F59" i="2"/>
  <c r="F58" i="2"/>
  <c r="F56" i="2"/>
  <c r="F53" i="2"/>
  <c r="F51" i="2"/>
  <c r="F50" i="2"/>
  <c r="F49" i="2"/>
  <c r="F48" i="2"/>
  <c r="F47" i="2"/>
  <c r="F44" i="2"/>
  <c r="F39" i="2"/>
  <c r="F29" i="2"/>
  <c r="F5" i="2"/>
  <c r="F38" i="2"/>
  <c r="F7" i="2"/>
  <c r="F34" i="2"/>
  <c r="F10" i="2"/>
  <c r="F20" i="2"/>
  <c r="F17" i="2"/>
  <c r="F13" i="2"/>
  <c r="F4" i="2"/>
  <c r="F23" i="2"/>
  <c r="F6" i="2"/>
  <c r="F35" i="2"/>
  <c r="F32" i="2"/>
  <c r="F31" i="2"/>
  <c r="F30" i="2"/>
  <c r="F26" i="2"/>
  <c r="F21" i="2"/>
  <c r="F18" i="2"/>
  <c r="F15" i="2"/>
  <c r="F14" i="2"/>
  <c r="F11" i="2"/>
  <c r="F8" i="2"/>
  <c r="F36" i="2"/>
  <c r="F33" i="2"/>
  <c r="F28" i="2"/>
  <c r="F27" i="2"/>
  <c r="F25" i="2"/>
  <c r="F24" i="2"/>
  <c r="F22" i="2"/>
  <c r="F19" i="2"/>
  <c r="F12" i="2"/>
  <c r="F9" i="2"/>
  <c r="F2" i="2" l="1"/>
</calcChain>
</file>

<file path=xl/sharedStrings.xml><?xml version="1.0" encoding="utf-8"?>
<sst xmlns="http://schemas.openxmlformats.org/spreadsheetml/2006/main" count="989" uniqueCount="197">
  <si>
    <t>Data de Movimentação</t>
  </si>
  <si>
    <t>Material</t>
  </si>
  <si>
    <t>Tipo de Movimentação</t>
  </si>
  <si>
    <t>Quantidade</t>
  </si>
  <si>
    <t>Custo Unitário (R$)</t>
  </si>
  <si>
    <t>Custo Total (R$)</t>
  </si>
  <si>
    <t>Total de Entradas</t>
  </si>
  <si>
    <t>Total de Saídas</t>
  </si>
  <si>
    <t>Saldo em Estoque</t>
  </si>
  <si>
    <t>Valor Médio Unitário (R$)</t>
  </si>
  <si>
    <t>Valor em Estoque (R$)</t>
  </si>
  <si>
    <t>SACO DE LIXO 100LT</t>
  </si>
  <si>
    <t>SACO DE LIXO 30LT</t>
  </si>
  <si>
    <t>PAPEL HIGIÊNICO FLORAL</t>
  </si>
  <si>
    <t>AGUA SANITÁRIA</t>
  </si>
  <si>
    <t>DETERGENTE LÍQUIDO</t>
  </si>
  <si>
    <t>ESPONJA DUPLA FACE</t>
  </si>
  <si>
    <t>COPO DESCARTÁVEL</t>
  </si>
  <si>
    <t>PANO DE CHÃO</t>
  </si>
  <si>
    <t>ENVELOPE TIPO A4</t>
  </si>
  <si>
    <t>PASTA SANFONADA</t>
  </si>
  <si>
    <t>PAPEL A4</t>
  </si>
  <si>
    <t>CANETA ESFEROGRÁFICA</t>
  </si>
  <si>
    <t>REGUA 30 CM</t>
  </si>
  <si>
    <t>CLIPS 6/0</t>
  </si>
  <si>
    <t>CLIPS 4/0</t>
  </si>
  <si>
    <t>FORMULÁRIO TRANSFERENCIA DE MATERIAL</t>
  </si>
  <si>
    <t>FORMULÁRIO SAÍDA DE MATERIAL</t>
  </si>
  <si>
    <t>LIVRO DE PROTOCOLO</t>
  </si>
  <si>
    <t>PAPEL TOALHA</t>
  </si>
  <si>
    <t>AGUA MINERAL - 20LI</t>
  </si>
  <si>
    <t>LUVA DE MALHA PIG PRETA - EPI/EPC</t>
  </si>
  <si>
    <t>FORMULÁRIO DE REQUISIÇÃO INTERNA</t>
  </si>
  <si>
    <t>GRAMPEADOR</t>
  </si>
  <si>
    <t>GRAMPO PARA GRAMPEADOR</t>
  </si>
  <si>
    <t>CLIPS 3/0</t>
  </si>
  <si>
    <t>ALMOFADA PARA CARIMBO</t>
  </si>
  <si>
    <t>ESTILETE GRANDE</t>
  </si>
  <si>
    <t>EXTRATOR DE GRAMPO</t>
  </si>
  <si>
    <t>Entrada</t>
  </si>
  <si>
    <t>NF/REQ.</t>
  </si>
  <si>
    <t>28430</t>
  </si>
  <si>
    <t>28429</t>
  </si>
  <si>
    <t>MEIO FIO SLD 45 X 30 X 10</t>
  </si>
  <si>
    <t>CIMENTO POTY 50KG</t>
  </si>
  <si>
    <t>ELETRODUTO CORRUGADO 4 POL</t>
  </si>
  <si>
    <t>BLOCO ESTRUTURAL 09 X 19 X 39</t>
  </si>
  <si>
    <t>ELETRODUTO CORRUGADO 4POL</t>
  </si>
  <si>
    <t>28410</t>
  </si>
  <si>
    <t>28411</t>
  </si>
  <si>
    <t>28417</t>
  </si>
  <si>
    <t>28431</t>
  </si>
  <si>
    <t>CONTROLE DE ESTOQUE</t>
  </si>
  <si>
    <t>(vazio)</t>
  </si>
  <si>
    <t>Total Geral</t>
  </si>
  <si>
    <t>MATERIAL</t>
  </si>
  <si>
    <t>OBRA - BRT AUGUSTO MONTENEGRO</t>
  </si>
  <si>
    <t>SALDO DE ESTOQUE</t>
  </si>
  <si>
    <t>1883</t>
  </si>
  <si>
    <t>PERNAMANCA</t>
  </si>
  <si>
    <t>TABUA</t>
  </si>
  <si>
    <t>39835</t>
  </si>
  <si>
    <t>ARCO DE SERRA</t>
  </si>
  <si>
    <t>GARRAFA TERMICA 5L</t>
  </si>
  <si>
    <t xml:space="preserve">MARTELO UNHA </t>
  </si>
  <si>
    <t>PREGO 2X12</t>
  </si>
  <si>
    <t>PREGO 3X9</t>
  </si>
  <si>
    <t>PRUMO 500GR</t>
  </si>
  <si>
    <t>SERROTE</t>
  </si>
  <si>
    <t>39852</t>
  </si>
  <si>
    <t>114292</t>
  </si>
  <si>
    <t>CARRINHO DE MÃO</t>
  </si>
  <si>
    <t>PÁ DE BICO</t>
  </si>
  <si>
    <t>ENXADA</t>
  </si>
  <si>
    <t>ALAVANCA</t>
  </si>
  <si>
    <t>PICARETA</t>
  </si>
  <si>
    <t>TRENA 5MT</t>
  </si>
  <si>
    <t>MARRETA 5KG</t>
  </si>
  <si>
    <t>MARRETA 2KG</t>
  </si>
  <si>
    <t>COLHER DE PEDREIRO</t>
  </si>
  <si>
    <t>NIVEL DE MÃO</t>
  </si>
  <si>
    <t>LINHA DE PEDREIRO</t>
  </si>
  <si>
    <t>LONA PLASTICA 4X1 10MT</t>
  </si>
  <si>
    <t>DESEMPENADEIRA</t>
  </si>
  <si>
    <t>Saldo em Sistema</t>
  </si>
  <si>
    <t>Físico</t>
  </si>
  <si>
    <t>Diferença</t>
  </si>
  <si>
    <t>28439</t>
  </si>
  <si>
    <t>ALCOOL LIQUIDO</t>
  </si>
  <si>
    <t>PINCEL P/ QUADRO BRANCO</t>
  </si>
  <si>
    <t>TINTA P/ CARIMBO</t>
  </si>
  <si>
    <t>PASTA A-Z LOMBO LARGO (GRANDE)</t>
  </si>
  <si>
    <t>CONTROLE DIARIO DE VEICULOS</t>
  </si>
  <si>
    <t>CONTROLE DIARIO DE EQUIPAMENTOS</t>
  </si>
  <si>
    <t>PAPEL CABONO</t>
  </si>
  <si>
    <t>25306</t>
  </si>
  <si>
    <t>Saída</t>
  </si>
  <si>
    <t>30075</t>
  </si>
  <si>
    <t>CAFÉ AVACUO</t>
  </si>
  <si>
    <t>25304</t>
  </si>
  <si>
    <t>30076</t>
  </si>
  <si>
    <t>CANETA MARCA TEXTO</t>
  </si>
  <si>
    <t>REGUA 30CM</t>
  </si>
  <si>
    <t>FILTRO DE PAPEL C/ 30 UND</t>
  </si>
  <si>
    <t>BANDEJA DE ACRILICO CRISTAL 3 LANCES</t>
  </si>
  <si>
    <t>PERFURADOR DE PAPEL</t>
  </si>
  <si>
    <t>PRANCHETA</t>
  </si>
  <si>
    <t>FITA DUREX 48X50</t>
  </si>
  <si>
    <t>REFIL DE TINTA YELLOW,CYAN,MAGENTA,BLACK</t>
  </si>
  <si>
    <t>PASTA C/ ELASTICO CRISTAL 4CM TRANSPARENTE</t>
  </si>
  <si>
    <t>28440</t>
  </si>
  <si>
    <t>25309</t>
  </si>
  <si>
    <t>25303</t>
  </si>
  <si>
    <t>25307</t>
  </si>
  <si>
    <t>25305</t>
  </si>
  <si>
    <t>25310</t>
  </si>
  <si>
    <t>25507</t>
  </si>
  <si>
    <t>25311</t>
  </si>
  <si>
    <t>25509</t>
  </si>
  <si>
    <t>896006</t>
  </si>
  <si>
    <t>PASTA ARQUIVO MORTO</t>
  </si>
  <si>
    <t>896005</t>
  </si>
  <si>
    <t>PASTA SUSPENSA</t>
  </si>
  <si>
    <t>449843</t>
  </si>
  <si>
    <t>TELA DE FERRO 6X2</t>
  </si>
  <si>
    <t>25512</t>
  </si>
  <si>
    <t>1690</t>
  </si>
  <si>
    <t>SABONETE LIQUIDO DE 5L</t>
  </si>
  <si>
    <t xml:space="preserve">LUVA LIMPEZA AMARELA </t>
  </si>
  <si>
    <t>BALDE DE 8L</t>
  </si>
  <si>
    <t>AÇUCAR FARDO C/30</t>
  </si>
  <si>
    <t>PORTA CANETA ARAMADO</t>
  </si>
  <si>
    <t>017970</t>
  </si>
  <si>
    <t>017969</t>
  </si>
  <si>
    <t>25316</t>
  </si>
  <si>
    <t>25317</t>
  </si>
  <si>
    <t>INVENTÁRIO</t>
  </si>
  <si>
    <t xml:space="preserve">GRAMPO PARA GRAMPEADOR </t>
  </si>
  <si>
    <t>ÁGUA MINERAL - 20L</t>
  </si>
  <si>
    <t xml:space="preserve">ÁGUA SANITÁRIA </t>
  </si>
  <si>
    <t xml:space="preserve">PICARETA </t>
  </si>
  <si>
    <t>25514</t>
  </si>
  <si>
    <t>25319</t>
  </si>
  <si>
    <t xml:space="preserve">DESIMPOOL 5 LITROS </t>
  </si>
  <si>
    <t>TÁBUA</t>
  </si>
  <si>
    <t>28461</t>
  </si>
  <si>
    <t>25367</t>
  </si>
  <si>
    <t>25370</t>
  </si>
  <si>
    <t>LINHA DE PEDREIRO 50M</t>
  </si>
  <si>
    <t>25368</t>
  </si>
  <si>
    <t>25318</t>
  </si>
  <si>
    <t>26251</t>
  </si>
  <si>
    <t>25401</t>
  </si>
  <si>
    <t>25369</t>
  </si>
  <si>
    <t>25358</t>
  </si>
  <si>
    <t>ALCOOL EM GEL 900ML</t>
  </si>
  <si>
    <t>PAPEL HIGIÊNICO</t>
  </si>
  <si>
    <t>25323</t>
  </si>
  <si>
    <t>25375</t>
  </si>
  <si>
    <t>25402</t>
  </si>
  <si>
    <t>016964</t>
  </si>
  <si>
    <t>25321</t>
  </si>
  <si>
    <t>25517</t>
  </si>
  <si>
    <t>ELETRODUTO CORRUGADO 2 POL</t>
  </si>
  <si>
    <t>25325</t>
  </si>
  <si>
    <t xml:space="preserve">PAPEL TOALHA FOLHEADO </t>
  </si>
  <si>
    <t>25373</t>
  </si>
  <si>
    <t>1264</t>
  </si>
  <si>
    <t>RIPÃO</t>
  </si>
  <si>
    <t>25328</t>
  </si>
  <si>
    <t>25516</t>
  </si>
  <si>
    <t>25518</t>
  </si>
  <si>
    <t>28471</t>
  </si>
  <si>
    <t>SALDO</t>
  </si>
  <si>
    <t>FERRAMENTAS</t>
  </si>
  <si>
    <t>TIPO</t>
  </si>
  <si>
    <t>DIVERSOS</t>
  </si>
  <si>
    <t>25380</t>
  </si>
  <si>
    <t>25379</t>
  </si>
  <si>
    <t>25521</t>
  </si>
  <si>
    <t>25382</t>
  </si>
  <si>
    <t>25329</t>
  </si>
  <si>
    <t>28453</t>
  </si>
  <si>
    <t>CAUTELA 100X1</t>
  </si>
  <si>
    <t>28467</t>
  </si>
  <si>
    <t>28468</t>
  </si>
  <si>
    <t>28456</t>
  </si>
  <si>
    <t>28454</t>
  </si>
  <si>
    <t>27091</t>
  </si>
  <si>
    <t>CAVALETE DE SINALIZAÇÃO( PREFEITURA DE BELÉM</t>
  </si>
  <si>
    <t>28472</t>
  </si>
  <si>
    <t>TRANSFERENCIA DE MATERIAL 50 X 3 VIAS</t>
  </si>
  <si>
    <t>114875</t>
  </si>
  <si>
    <t>FURADEIRA IMPAC GSB 13 RE 750W 220V+23AC</t>
  </si>
  <si>
    <t>SERRA CIRCULA 7 1/4 1400W-DEWALT 2200V</t>
  </si>
  <si>
    <t>ESMERILHADEIRA 4.1/2GWS 850 220V 850W</t>
  </si>
  <si>
    <t>TRENA EMBORRACHADA 5M X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</si>
</sst>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name val="Carlito"/>
    </font>
    <font>
      <b/>
      <sz val="20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0" fillId="0" borderId="0" xfId="0" pivotButton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alignment vertical="center"/>
    </dxf>
    <dxf>
      <alignment horizontal="center"/>
    </dxf>
    <dxf>
      <font>
        <b/>
      </font>
      <fill>
        <patternFill patternType="solid">
          <bgColor rgb="FFF4CC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9" formatCode="dd/mm/yyyy"/>
    </dxf>
    <dxf>
      <alignment horizontal="center" textRotation="0" indent="0" justifyLastLine="0" shrinkToFit="0" readingOrder="0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105834</xdr:colOff>
      <xdr:row>0</xdr:row>
      <xdr:rowOff>137583</xdr:rowOff>
    </xdr:from>
    <xdr:to>
      <xdr:col>1</xdr:col>
      <xdr:colOff>405474</xdr:colOff>
      <xdr:row>0</xdr:row>
      <xdr:rowOff>416315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7CDF06-1A4A-4873-A133-3A8CDAC96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4" y="137583"/>
          <a:ext cx="1600200" cy="2787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133350</xdr:rowOff>
    </xdr:from>
    <xdr:to>
      <xdr:col>0</xdr:col>
      <xdr:colOff>1876425</xdr:colOff>
      <xdr:row>0</xdr:row>
      <xdr:rowOff>412082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43F79C-C72E-45DE-A6BE-6601A1A9B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33350"/>
          <a:ext cx="1600200" cy="27873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4.402329398152" createdVersion="8" refreshedVersion="8" minRefreshableVersion="3" recordCount="458" xr:uid="{7DB8BF9D-342D-4AAA-9732-AEE7FCB70A5A}">
  <cacheSource type="worksheet">
    <worksheetSource name="TabelaMovimentacoes"/>
  </cacheSource>
  <cacheFields count="8">
    <cacheField name="Data de Movimentação" numFmtId="14">
      <sharedItems containsNonDate="0" containsDate="1" containsString="0" containsBlank="1" minDate="2006-09-17T00:00:00" maxDate="2026-09-29T00:00:00"/>
    </cacheField>
    <cacheField name="NF/REQ." numFmtId="0">
      <sharedItems containsBlank="1" containsMixedTypes="1" containsNumber="1" containsInteger="1" minValue="28390" maxValue="28416"/>
    </cacheField>
    <cacheField name="Material" numFmtId="0">
      <sharedItems containsBlank="1" count="142">
        <s v="PASTA SUSPENSA"/>
        <s v="PICARETA "/>
        <s v="ELETRODUTO CORRUGADO 2 POL"/>
        <s v="GARRAFA TERMICA 5L"/>
        <s v="ALCOOL EM GEL 900ML"/>
        <s v="FORMULÁRIO DE REQUISIÇÃO INTERNA"/>
        <m/>
        <s v="SACO DE LIXO 30LT"/>
        <s v="PAPEL HIGIÊNICO"/>
        <s v="ÁGUA SANITÁRIA "/>
        <s v="DETERGENTE LÍQUIDO"/>
        <s v="ESPONJA DUPLA FACE"/>
        <s v="COPO DESCARTÁVEL"/>
        <s v="PANO DE CHÃO"/>
        <s v="ENVELOPE TIPO A4"/>
        <s v="PASTA SANFONADA"/>
        <s v="PAPEL A4"/>
        <s v="CANETA ESFEROGRÁFICA"/>
        <s v="REGUA 30 CM"/>
        <s v="CLIPS 6/0"/>
        <s v="CLIPS 4/0"/>
        <s v="GRAMPEADOR"/>
        <s v="FORMULÁRIO TRANSFERENCIA DE MATERIAL"/>
        <s v="FORMULÁRIO SAÍDA DE MATERIAL"/>
        <s v="LIVRO DE PROTOCOLO"/>
        <s v="PAPEL TOALHA FOLHEADO "/>
        <s v="ÁGUA MINERAL - 20L"/>
        <s v="LUVA DE MALHA PIG PRETA - EPI/EPC"/>
        <s v="GRAMPO PARA GRAMPEADOR "/>
        <s v="CLIPS 3/0"/>
        <s v="ALMOFADA PARA CARIMBO"/>
        <s v="ESTILETE GRANDE"/>
        <s v="EXTRATOR DE GRAMPO"/>
        <s v="MEIO FIO SLD 45 X 30 X 10"/>
        <s v="CIMENTO POTY 50KG"/>
        <s v="ELETRODUTO CORRUGADO 4 POL"/>
        <s v="BLOCO ESTRUTURAL 09 X 19 X 39"/>
        <s v="PERNAMANCA"/>
        <s v="TÁBUA"/>
        <s v="ARCO DE SERRA"/>
        <s v="MARTELO UNHA "/>
        <s v="PREGO 2X12"/>
        <s v="PREGO 3X9"/>
        <s v="PRUMO 500GR"/>
        <s v="SERROTE"/>
        <s v="CARRINHO DE MÃO"/>
        <s v="PÁ DE BICO"/>
        <s v="ENXADA"/>
        <s v="ALAVANCA"/>
        <s v="PICARETA"/>
        <s v="TRENA 5MT"/>
        <s v="MARRETA 2KG"/>
        <s v="MARRETA 5KG"/>
        <s v="COLHER DE PEDREIRO"/>
        <s v="NIVEL DE MÃO"/>
        <s v="LINHA DE PEDREIRO 50M"/>
        <s v="LONA PLASTICA 4X1 10MT"/>
        <s v="DESEMPENADEIRA"/>
        <s v="ALCOOL LIQUIDO"/>
        <s v="PINCEL P/ QUADRO BRANCO"/>
        <s v="TINTA P/ CARIMBO"/>
        <s v="PASTA A-Z LOMBO LARGO (GRANDE)"/>
        <s v="CONTROLE DIARIO DE VEICULOS"/>
        <s v="CONTROLE DIARIO DE EQUIPAMENTOS"/>
        <s v="PAPEL CABONO"/>
        <s v="CAFÉ AVACUO"/>
        <s v="CANETA MARCA TEXTO"/>
        <s v="PASTA ARQUIVO MORTO"/>
        <s v="REGUA 30CM"/>
        <s v="FILTRO DE PAPEL C/ 30 UND"/>
        <s v="BANDEJA DE ACRILICO CRISTAL 3 LANCES"/>
        <s v="PERFURADOR DE PAPEL"/>
        <s v="PRANCHETA"/>
        <s v="FITA DUREX 48X50"/>
        <s v="REFIL DE TINTA YELLOW,CYAN,MAGENTA,BLACK"/>
        <s v="PASTA C/ ELASTICO CRISTAL 4CM TRANSPARENTE"/>
        <s v="TELA DE FERRO 6X2"/>
        <s v="SABONETE LIQUIDO DE 5L"/>
        <s v="SACO DE LIXO 100LT"/>
        <s v="LUVA LIMPEZA AMARELA "/>
        <s v="DESIMPOOL 5 LITROS "/>
        <s v="BALDE DE 8L"/>
        <s v="AÇUCAR FARDO C/30"/>
        <s v="PORTA CANETA ARAMADO"/>
        <s v="RIPÃO"/>
        <s v="CAUTELA 100X1"/>
        <s v="CAVALETE DE SINALIZAÇÃO( PREFEITURA DE BELÉM"/>
        <s v="TRANSFERENCIA DE MATERIAL 50 X 3 VIAS"/>
        <s v="FURADEIRA IMPAC GSB 13 RE 750W 220V+23AC"/>
        <s v="SERRA CIRCULA 7 1/4 1400W-DEWALT 2200V"/>
        <s v="ESMERILHADEIRA 4.1/2GWS 850 220V 850W"/>
        <s v="TRENA EMBORRACHADA 5M X 18MM"/>
        <s v="TOMADA  SOBREPOR DUPLA 20A" u="1"/>
        <s v="CANALETA ADESIVA 2M 20+10MM" u="1"/>
        <s v="CABO FLEXIVEL 2-5MM PRETO" u="1"/>
        <s v="CABO FLEXIVEL 2-5MM AZUL" u="1"/>
        <s v="CABO FLEXIVEL 2-5MM VERDE " u="1"/>
        <s v="DRAGA COM CABO" u="1"/>
        <s v="                                                                                                                                                                      " u="1"/>
        <s v="PRANCHETA DE MADEIRA " u="1"/>
        <s v="PAPEL TOALHA" u="1"/>
        <s v="PAPEL TOALHA " u="1"/>
        <s v="ESCADA DE FIBRA 2 LANCES " u="1"/>
        <s v="GASOLINA " u="1"/>
        <s v="PALHETE DE MEIO FIO " u="1"/>
        <s v="CANETA" u="1"/>
        <s v="REGUA ACRILICA " u="1"/>
        <s v="PAPAL HIGIÊNICO" u="1"/>
        <s v="PAPAEL HIGIÊNICO" u="1"/>
        <s v="ESQUADRO 30CM" u="1"/>
        <s v="MARTELO 27MM" u="1"/>
        <s v="BALDE DE 7LT" u="1"/>
        <s v="CARBONO " u="1"/>
        <s v="3M DE AREIA " u="1"/>
        <s v="PLACA VIBRATÓRIA " u="1"/>
        <s v="LINHA DE PEDREIRO" u="1"/>
        <s v="CANETA " u="1"/>
        <s v="TONER PARA EMPRESSORA " u="1"/>
        <s v="DESIMPOOL" u="1"/>
        <s v="ELETRODUTO CORRUGADO 4POL" u="1"/>
        <s v="TABUA" u="1"/>
        <s v="GARRAFA TERMICA 5LT" u="1"/>
        <s v="PERNAMANCA " u="1"/>
        <s v="SACO DE LIXO 100L" u="1"/>
        <s v="SACO  DE LIXO 100L" u="1"/>
        <s v="COPO DESCARTÁVEL " u="1"/>
        <s v="ÁGUA SANITÁRIA" u="1"/>
        <s v="ÁGUA MINERAL- 20L" u="1"/>
        <s v=" ÁGUA SANITÁRIA " u="1"/>
        <s v="AGUA SANITÁRIA" u="1"/>
        <s v="AGUA MINERAL - 20LI" u="1"/>
        <s v="ÁGUA MINERAL 20L" u="1"/>
        <s v="TINTA  PARA EMPRESSORA ( PRETO) " u="1"/>
        <s v="TONER PARA EMPRESSORA ( PRETO) " u="1"/>
        <s v="GRAMPO " u="1"/>
        <s v="GRAMPREADOR" u="1"/>
        <s v="GRAMPEADOR " u="1"/>
        <s v="GRAMPO PARA GRAMPEADOR" u="1"/>
        <s v="ARQUIVO MORTO" u="1"/>
        <s v="ALCOOL " u="1"/>
        <s v="PAPEL HIGIÊNICO FLORAL" u="1"/>
        <s v="CLIPS 3.0" u="1"/>
      </sharedItems>
    </cacheField>
    <cacheField name="Tipo de Movimentação" numFmtId="0">
      <sharedItems containsBlank="1"/>
    </cacheField>
    <cacheField name="Quantidade" numFmtId="1">
      <sharedItems containsString="0" containsBlank="1" containsNumber="1" containsInteger="1" minValue="1" maxValue="750"/>
    </cacheField>
    <cacheField name="Custo Unitário (R$)" numFmtId="164">
      <sharedItems containsString="0" containsBlank="1" containsNumber="1" minValue="0.38080000000000003" maxValue="650"/>
    </cacheField>
    <cacheField name="Custo Total (R$)" numFmtId="164">
      <sharedItems containsBlank="1" containsMixedTypes="1" containsNumber="1" minValue="1.4" maxValue="17900"/>
    </cacheField>
    <cacheField name="TIP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d v="2026-09-08T00:00:00"/>
    <s v="SALDO"/>
    <x v="0"/>
    <s v="Entrada"/>
    <n v="69"/>
    <m/>
    <m/>
    <m/>
  </r>
  <r>
    <d v="2026-09-08T00:00:00"/>
    <s v="SALDO"/>
    <x v="1"/>
    <s v="Entrada"/>
    <n v="2"/>
    <m/>
    <m/>
    <s v="FERRAMENTAS"/>
  </r>
  <r>
    <d v="2026-09-08T00:00:00"/>
    <s v="SALDO"/>
    <x v="2"/>
    <s v="Entrada"/>
    <n v="150"/>
    <m/>
    <m/>
    <m/>
  </r>
  <r>
    <d v="2026-09-08T00:00:00"/>
    <s v="SALDO"/>
    <x v="3"/>
    <s v="Entrada"/>
    <n v="4"/>
    <m/>
    <m/>
    <s v="DIVERSOS"/>
  </r>
  <r>
    <d v="2026-09-08T00:00:00"/>
    <s v="SALDO"/>
    <x v="2"/>
    <s v="Entrada"/>
    <n v="200"/>
    <m/>
    <m/>
    <m/>
  </r>
  <r>
    <d v="2026-09-08T00:00:00"/>
    <s v="SALDO"/>
    <x v="4"/>
    <s v="Entrada"/>
    <n v="4"/>
    <m/>
    <m/>
    <m/>
  </r>
  <r>
    <d v="2026-09-08T00:00:00"/>
    <s v="SALDO"/>
    <x v="5"/>
    <s v="Entrada"/>
    <n v="1"/>
    <m/>
    <m/>
    <m/>
  </r>
  <r>
    <d v="2026-09-08T00:00:00"/>
    <s v="SALDO"/>
    <x v="6"/>
    <m/>
    <m/>
    <m/>
    <m/>
    <m/>
  </r>
  <r>
    <d v="2026-09-08T00:00:00"/>
    <s v="SALDO"/>
    <x v="6"/>
    <m/>
    <m/>
    <m/>
    <m/>
    <m/>
  </r>
  <r>
    <d v="2026-09-08T00:00:00"/>
    <s v="SALDO"/>
    <x v="6"/>
    <m/>
    <m/>
    <m/>
    <m/>
    <m/>
  </r>
  <r>
    <d v="2026-09-14T00:00:00"/>
    <n v="28390"/>
    <x v="7"/>
    <s v="Entrada"/>
    <n v="10"/>
    <n v="2.16"/>
    <n v="21.6"/>
    <m/>
  </r>
  <r>
    <d v="2026-09-14T00:00:00"/>
    <n v="28390"/>
    <x v="8"/>
    <s v="Entrada"/>
    <n v="1"/>
    <n v="4.34"/>
    <n v="4.34"/>
    <m/>
  </r>
  <r>
    <d v="2026-09-14T00:00:00"/>
    <n v="28390"/>
    <x v="9"/>
    <s v="Entrada"/>
    <n v="5"/>
    <n v="2.35"/>
    <n v="11.75"/>
    <m/>
  </r>
  <r>
    <d v="2026-09-14T00:00:00"/>
    <n v="28390"/>
    <x v="10"/>
    <s v="Entrada"/>
    <n v="10"/>
    <n v="2.42"/>
    <n v="24.2"/>
    <m/>
  </r>
  <r>
    <d v="2026-09-14T00:00:00"/>
    <n v="28390"/>
    <x v="11"/>
    <s v="Entrada"/>
    <n v="10"/>
    <n v="0.95"/>
    <n v="9.5"/>
    <m/>
  </r>
  <r>
    <d v="2026-09-14T00:00:00"/>
    <n v="28390"/>
    <x v="12"/>
    <s v="Entrada"/>
    <n v="25"/>
    <n v="6.51"/>
    <n v="162.75"/>
    <m/>
  </r>
  <r>
    <d v="2026-09-14T00:00:00"/>
    <n v="28390"/>
    <x v="13"/>
    <s v="Entrada"/>
    <n v="5"/>
    <n v="2.98"/>
    <n v="14.9"/>
    <m/>
  </r>
  <r>
    <d v="2026-09-14T00:00:00"/>
    <n v="28390"/>
    <x v="14"/>
    <s v="Entrada"/>
    <n v="10"/>
    <n v="0.48"/>
    <n v="4.8"/>
    <m/>
  </r>
  <r>
    <d v="2026-09-14T00:00:00"/>
    <n v="28390"/>
    <x v="15"/>
    <s v="Entrada"/>
    <n v="2"/>
    <n v="53.91"/>
    <n v="107.82"/>
    <m/>
  </r>
  <r>
    <d v="2026-09-14T00:00:00"/>
    <n v="28390"/>
    <x v="16"/>
    <s v="Entrada"/>
    <n v="4"/>
    <n v="27.16"/>
    <n v="108.64"/>
    <m/>
  </r>
  <r>
    <d v="2026-09-14T00:00:00"/>
    <n v="28390"/>
    <x v="17"/>
    <s v="Entrada"/>
    <n v="10"/>
    <n v="0.9"/>
    <n v="9"/>
    <m/>
  </r>
  <r>
    <d v="2026-09-14T00:00:00"/>
    <n v="28390"/>
    <x v="18"/>
    <s v="Entrada"/>
    <n v="4"/>
    <n v="1.1100000000000001"/>
    <n v="4.4400000000000004"/>
    <m/>
  </r>
  <r>
    <d v="2026-09-14T00:00:00"/>
    <n v="28390"/>
    <x v="19"/>
    <s v="Entrada"/>
    <n v="2"/>
    <n v="2.15"/>
    <n v="4.3"/>
    <m/>
  </r>
  <r>
    <d v="2026-09-14T00:00:00"/>
    <n v="28390"/>
    <x v="20"/>
    <s v="Entrada"/>
    <n v="3"/>
    <n v="2.62"/>
    <n v="7.86"/>
    <m/>
  </r>
  <r>
    <d v="2026-09-14T00:00:00"/>
    <n v="28390"/>
    <x v="21"/>
    <s v="Entrada"/>
    <n v="1"/>
    <n v="14.65"/>
    <n v="14.65"/>
    <m/>
  </r>
  <r>
    <d v="2006-09-17T00:00:00"/>
    <n v="28416"/>
    <x v="22"/>
    <s v="Entrada"/>
    <n v="2"/>
    <n v="25.41"/>
    <n v="50.82"/>
    <m/>
  </r>
  <r>
    <d v="2006-09-17T00:00:00"/>
    <n v="28416"/>
    <x v="23"/>
    <s v="Entrada"/>
    <n v="2"/>
    <n v="7.26"/>
    <n v="14.52"/>
    <m/>
  </r>
  <r>
    <d v="2006-09-17T00:00:00"/>
    <n v="28416"/>
    <x v="24"/>
    <s v="Entrada"/>
    <n v="2"/>
    <n v="9.49"/>
    <n v="18.98"/>
    <m/>
  </r>
  <r>
    <d v="2006-09-17T00:00:00"/>
    <n v="28416"/>
    <x v="25"/>
    <s v="Entrada"/>
    <n v="1"/>
    <n v="6.18"/>
    <n v="6.18"/>
    <m/>
  </r>
  <r>
    <d v="2026-09-21T00:00:00"/>
    <s v="28430"/>
    <x v="26"/>
    <s v="Entrada"/>
    <n v="4"/>
    <n v="7.5"/>
    <n v="30"/>
    <m/>
  </r>
  <r>
    <d v="2026-09-21T00:00:00"/>
    <s v="28430"/>
    <x v="27"/>
    <s v="Entrada"/>
    <n v="48"/>
    <n v="2.0699999999999998"/>
    <n v="99.359999999999985"/>
    <m/>
  </r>
  <r>
    <d v="2026-09-21T00:00:00"/>
    <s v="28429"/>
    <x v="24"/>
    <s v="Entrada"/>
    <n v="1"/>
    <n v="10.46"/>
    <n v="10.46"/>
    <m/>
  </r>
  <r>
    <d v="2026-09-21T00:00:00"/>
    <s v="28429"/>
    <x v="5"/>
    <s v="Entrada"/>
    <n v="1"/>
    <n v="12"/>
    <n v="12"/>
    <m/>
  </r>
  <r>
    <d v="2026-09-21T00:00:00"/>
    <s v="28429"/>
    <x v="17"/>
    <s v="Entrada"/>
    <n v="5"/>
    <n v="0.84"/>
    <n v="4.2"/>
    <m/>
  </r>
  <r>
    <d v="2026-09-21T00:00:00"/>
    <s v="28429"/>
    <x v="21"/>
    <s v="Entrada"/>
    <n v="1"/>
    <n v="14.65"/>
    <n v="14.65"/>
    <m/>
  </r>
  <r>
    <d v="2026-09-21T00:00:00"/>
    <s v="28429"/>
    <x v="28"/>
    <s v="Entrada"/>
    <n v="2"/>
    <n v="4.2300000000000004"/>
    <n v="8.4600000000000009"/>
    <m/>
  </r>
  <r>
    <d v="2026-09-21T00:00:00"/>
    <s v="28429"/>
    <x v="29"/>
    <s v="Entrada"/>
    <n v="3"/>
    <n v="2.34"/>
    <n v="7.02"/>
    <m/>
  </r>
  <r>
    <d v="2026-09-21T00:00:00"/>
    <s v="28429"/>
    <x v="30"/>
    <s v="Entrada"/>
    <n v="1"/>
    <n v="4.12"/>
    <n v="4.12"/>
    <m/>
  </r>
  <r>
    <d v="2026-09-21T00:00:00"/>
    <s v="28429"/>
    <x v="31"/>
    <s v="Entrada"/>
    <n v="1"/>
    <n v="1.4"/>
    <n v="1.4"/>
    <m/>
  </r>
  <r>
    <d v="2026-09-21T00:00:00"/>
    <s v="28429"/>
    <x v="32"/>
    <s v="Entrada"/>
    <n v="2"/>
    <n v="1.72"/>
    <n v="3.44"/>
    <m/>
  </r>
  <r>
    <d v="2026-09-16T00:00:00"/>
    <n v="28402"/>
    <x v="33"/>
    <s v="Entrada"/>
    <n v="400"/>
    <n v="30.96"/>
    <n v="12384"/>
    <m/>
  </r>
  <r>
    <d v="2026-09-17T00:00:00"/>
    <s v="28410"/>
    <x v="34"/>
    <s v="Entrada"/>
    <n v="80"/>
    <n v="50.04"/>
    <n v="4003.2"/>
    <m/>
  </r>
  <r>
    <d v="2026-07-17T00:00:00"/>
    <s v="28411"/>
    <x v="35"/>
    <s v="Entrada"/>
    <n v="250"/>
    <n v="16.68"/>
    <n v="4170"/>
    <m/>
  </r>
  <r>
    <d v="2026-09-18T00:00:00"/>
    <s v="28417"/>
    <x v="36"/>
    <s v="Entrada"/>
    <n v="750"/>
    <n v="6.45"/>
    <n v="4837.5"/>
    <m/>
  </r>
  <r>
    <d v="2026-09-21T00:00:00"/>
    <s v="28431"/>
    <x v="35"/>
    <s v="Entrada"/>
    <n v="250"/>
    <n v="16.68"/>
    <n v="4170"/>
    <m/>
  </r>
  <r>
    <d v="2026-09-17T00:00:00"/>
    <s v="1883"/>
    <x v="37"/>
    <s v="Entrada"/>
    <n v="60"/>
    <n v="15.833399999999999"/>
    <n v="950.00399999999991"/>
    <m/>
  </r>
  <r>
    <d v="2026-09-17T00:00:00"/>
    <s v="1883"/>
    <x v="38"/>
    <s v="Entrada"/>
    <n v="180"/>
    <n v="15.83333"/>
    <n v="2849.9994000000002"/>
    <m/>
  </r>
  <r>
    <d v="2026-09-18T00:00:00"/>
    <s v="39835"/>
    <x v="39"/>
    <s v="Entrada"/>
    <n v="4"/>
    <n v="51.07"/>
    <n v="204.28"/>
    <s v="FERRAMENTAS"/>
  </r>
  <r>
    <d v="2026-09-18T00:00:00"/>
    <s v="39835"/>
    <x v="3"/>
    <s v="Entrada"/>
    <n v="5"/>
    <n v="60.7"/>
    <n v="303.5"/>
    <s v="DIVERSOS"/>
  </r>
  <r>
    <d v="2026-09-18T00:00:00"/>
    <s v="39835"/>
    <x v="40"/>
    <s v="Entrada"/>
    <n v="2"/>
    <n v="72.180000000000007"/>
    <n v="144.36000000000001"/>
    <s v="FERRAMENTAS"/>
  </r>
  <r>
    <d v="2026-09-18T00:00:00"/>
    <s v="39835"/>
    <x v="41"/>
    <s v="Entrada"/>
    <n v="5"/>
    <n v="20.37"/>
    <n v="101.85000000000001"/>
    <m/>
  </r>
  <r>
    <d v="2026-09-18T00:00:00"/>
    <s v="39835"/>
    <x v="42"/>
    <s v="Entrada"/>
    <n v="6"/>
    <n v="18.510000000000002"/>
    <n v="111.06"/>
    <m/>
  </r>
  <r>
    <d v="2026-09-18T00:00:00"/>
    <s v="39835"/>
    <x v="43"/>
    <s v="Entrada"/>
    <n v="5"/>
    <n v="52.46"/>
    <n v="262.3"/>
    <s v="FERRAMENTAS"/>
  </r>
  <r>
    <d v="2026-09-18T00:00:00"/>
    <s v="39835"/>
    <x v="44"/>
    <s v="Entrada"/>
    <n v="4"/>
    <n v="90.7"/>
    <n v="362.8"/>
    <s v="FERRAMENTAS"/>
  </r>
  <r>
    <d v="2026-09-21T00:00:00"/>
    <s v="39852"/>
    <x v="42"/>
    <s v="Entrada"/>
    <n v="14"/>
    <n v="18.510000000000002"/>
    <n v="259.14000000000004"/>
    <m/>
  </r>
  <r>
    <d v="2026-09-18T00:00:00"/>
    <s v="114292"/>
    <x v="45"/>
    <s v="Entrada"/>
    <n v="14"/>
    <n v="359"/>
    <n v="5026"/>
    <s v="FERRAMENTAS"/>
  </r>
  <r>
    <d v="2026-09-18T00:00:00"/>
    <s v="114292"/>
    <x v="46"/>
    <s v="Entrada"/>
    <n v="14"/>
    <n v="34.99"/>
    <n v="489.86"/>
    <s v="FERRAMENTAS"/>
  </r>
  <r>
    <d v="2026-09-18T00:00:00"/>
    <s v="114292"/>
    <x v="47"/>
    <s v="Entrada"/>
    <n v="14"/>
    <n v="49.99"/>
    <n v="699.86"/>
    <s v="FERRAMENTAS"/>
  </r>
  <r>
    <d v="2026-09-18T00:00:00"/>
    <s v="114292"/>
    <x v="48"/>
    <s v="Entrada"/>
    <n v="4"/>
    <n v="92"/>
    <n v="368"/>
    <s v="FERRAMENTAS"/>
  </r>
  <r>
    <d v="2026-09-18T00:00:00"/>
    <s v="114292"/>
    <x v="49"/>
    <s v="Entrada"/>
    <n v="14"/>
    <n v="81.900000000000006"/>
    <n v="1146.6000000000001"/>
    <s v="FERRAMENTAS"/>
  </r>
  <r>
    <d v="2026-09-18T00:00:00"/>
    <s v="114292"/>
    <x v="50"/>
    <s v="Entrada"/>
    <n v="5"/>
    <n v="19.989999999999998"/>
    <n v="99.949999999999989"/>
    <s v="FERRAMENTAS"/>
  </r>
  <r>
    <d v="2026-09-18T00:00:00"/>
    <s v="114292"/>
    <x v="51"/>
    <s v="Entrada"/>
    <n v="6"/>
    <n v="46"/>
    <n v="276"/>
    <s v="FERRAMENTAS"/>
  </r>
  <r>
    <d v="2026-09-18T00:00:00"/>
    <s v="114292"/>
    <x v="52"/>
    <s v="Entrada"/>
    <n v="5"/>
    <n v="120"/>
    <n v="600"/>
    <s v="FERRAMENTAS"/>
  </r>
  <r>
    <d v="2026-09-18T00:00:00"/>
    <s v="114292"/>
    <x v="53"/>
    <s v="Entrada"/>
    <n v="10"/>
    <n v="28"/>
    <n v="280"/>
    <s v="FERRAMENTAS"/>
  </r>
  <r>
    <d v="2026-09-18T00:00:00"/>
    <s v="114292"/>
    <x v="54"/>
    <s v="Entrada"/>
    <n v="5"/>
    <n v="22"/>
    <n v="110"/>
    <s v="FERRAMENTAS"/>
  </r>
  <r>
    <d v="2026-09-18T00:00:00"/>
    <s v="114292"/>
    <x v="39"/>
    <s v="Entrada"/>
    <n v="4"/>
    <n v="15"/>
    <n v="60"/>
    <s v="FERRAMENTAS"/>
  </r>
  <r>
    <d v="2026-09-18T00:00:00"/>
    <s v="114292"/>
    <x v="55"/>
    <s v="Entrada"/>
    <n v="10"/>
    <n v="9"/>
    <n v="90"/>
    <m/>
  </r>
  <r>
    <d v="2026-09-18T00:00:00"/>
    <s v="114292"/>
    <x v="56"/>
    <s v="Entrada"/>
    <n v="2"/>
    <n v="410"/>
    <n v="820"/>
    <m/>
  </r>
  <r>
    <d v="2026-09-18T00:00:00"/>
    <s v="114292"/>
    <x v="57"/>
    <s v="Entrada"/>
    <n v="4"/>
    <n v="18"/>
    <n v="72"/>
    <s v="FERRAMENTAS"/>
  </r>
  <r>
    <d v="2026-09-22T00:00:00"/>
    <s v="28439"/>
    <x v="16"/>
    <s v="Entrada"/>
    <n v="2"/>
    <n v="26.35"/>
    <n v="52.7"/>
    <m/>
  </r>
  <r>
    <d v="2026-09-22T00:00:00"/>
    <s v="28439"/>
    <x v="58"/>
    <s v="Entrada"/>
    <n v="2"/>
    <n v="17.96"/>
    <n v="35.92"/>
    <m/>
  </r>
  <r>
    <d v="2026-09-22T00:00:00"/>
    <s v="28439"/>
    <x v="59"/>
    <s v="Entrada"/>
    <n v="2"/>
    <n v="3.07"/>
    <n v="6.14"/>
    <m/>
  </r>
  <r>
    <d v="2026-09-22T00:00:00"/>
    <s v="28439"/>
    <x v="60"/>
    <s v="Entrada"/>
    <n v="2"/>
    <n v="4.47"/>
    <n v="8.94"/>
    <m/>
  </r>
  <r>
    <d v="2026-09-22T00:00:00"/>
    <s v="28439"/>
    <x v="20"/>
    <s v="Entrada"/>
    <n v="3"/>
    <n v="2.0699999999999998"/>
    <n v="6.2099999999999991"/>
    <m/>
  </r>
  <r>
    <d v="2026-09-22T00:00:00"/>
    <s v="28439"/>
    <x v="14"/>
    <s v="Entrada"/>
    <n v="10"/>
    <n v="0.48"/>
    <n v="4.8"/>
    <m/>
  </r>
  <r>
    <d v="2026-09-22T00:00:00"/>
    <s v="28439"/>
    <x v="61"/>
    <s v="Entrada"/>
    <n v="5"/>
    <n v="14.51"/>
    <n v="72.55"/>
    <m/>
  </r>
  <r>
    <d v="2026-09-22T00:00:00"/>
    <s v="28439"/>
    <x v="30"/>
    <s v="Entrada"/>
    <n v="3"/>
    <n v="4.12"/>
    <n v="12.36"/>
    <m/>
  </r>
  <r>
    <d v="2026-09-22T00:00:00"/>
    <s v="28439"/>
    <x v="62"/>
    <s v="Entrada"/>
    <n v="10"/>
    <n v="9"/>
    <n v="90"/>
    <m/>
  </r>
  <r>
    <d v="2026-09-22T00:00:00"/>
    <s v="28439"/>
    <x v="63"/>
    <s v="Entrada"/>
    <n v="10"/>
    <n v="7.5"/>
    <n v="75"/>
    <m/>
  </r>
  <r>
    <d v="2026-09-22T00:00:00"/>
    <s v="28439"/>
    <x v="5"/>
    <s v="Entrada"/>
    <n v="4"/>
    <n v="12"/>
    <n v="48"/>
    <m/>
  </r>
  <r>
    <d v="2026-09-22T00:00:00"/>
    <s v="28439"/>
    <x v="64"/>
    <s v="Entrada"/>
    <n v="10"/>
    <n v="0.38080000000000003"/>
    <n v="3.8080000000000003"/>
    <m/>
  </r>
  <r>
    <d v="2026-09-22T00:00:00"/>
    <s v="25306"/>
    <x v="16"/>
    <s v="Saída"/>
    <n v="2"/>
    <m/>
    <s v=""/>
    <m/>
  </r>
  <r>
    <d v="2026-09-22T00:00:00"/>
    <s v="25306"/>
    <x v="58"/>
    <s v="Saída"/>
    <n v="2"/>
    <m/>
    <s v=""/>
    <m/>
  </r>
  <r>
    <d v="2026-09-22T00:00:00"/>
    <s v="25306"/>
    <x v="59"/>
    <s v="Saída"/>
    <n v="2"/>
    <m/>
    <s v=""/>
    <m/>
  </r>
  <r>
    <d v="2026-09-22T00:00:00"/>
    <s v="25306"/>
    <x v="60"/>
    <s v="Saída"/>
    <n v="2"/>
    <m/>
    <s v=""/>
    <m/>
  </r>
  <r>
    <d v="2026-09-22T00:00:00"/>
    <s v="25306"/>
    <x v="20"/>
    <s v="Saída"/>
    <n v="3"/>
    <m/>
    <s v=""/>
    <m/>
  </r>
  <r>
    <d v="2026-09-22T00:00:00"/>
    <s v="25306"/>
    <x v="14"/>
    <s v="Saída"/>
    <n v="10"/>
    <m/>
    <s v=""/>
    <m/>
  </r>
  <r>
    <d v="2026-09-22T00:00:00"/>
    <s v="25306"/>
    <x v="61"/>
    <s v="Saída"/>
    <n v="5"/>
    <m/>
    <s v=""/>
    <m/>
  </r>
  <r>
    <d v="2026-09-22T00:00:00"/>
    <s v="25306"/>
    <x v="30"/>
    <s v="Saída"/>
    <n v="3"/>
    <m/>
    <s v=""/>
    <m/>
  </r>
  <r>
    <d v="2026-09-22T00:00:00"/>
    <s v="25306"/>
    <x v="62"/>
    <s v="Saída"/>
    <n v="10"/>
    <m/>
    <s v=""/>
    <m/>
  </r>
  <r>
    <d v="2026-09-22T00:00:00"/>
    <s v="25306"/>
    <x v="63"/>
    <s v="Saída"/>
    <n v="10"/>
    <m/>
    <s v=""/>
    <m/>
  </r>
  <r>
    <d v="2026-09-22T00:00:00"/>
    <s v="25304"/>
    <x v="5"/>
    <s v="Saída"/>
    <n v="4"/>
    <m/>
    <s v=""/>
    <m/>
  </r>
  <r>
    <d v="2026-09-22T00:00:00"/>
    <s v="25304"/>
    <x v="64"/>
    <s v="Saída"/>
    <n v="10"/>
    <m/>
    <s v=""/>
    <m/>
  </r>
  <r>
    <d v="2026-09-22T00:00:00"/>
    <s v="30075"/>
    <x v="65"/>
    <s v="Entrada"/>
    <n v="20"/>
    <n v="18.86"/>
    <n v="377.2"/>
    <m/>
  </r>
  <r>
    <d v="2026-09-22T00:00:00"/>
    <s v="30076"/>
    <x v="17"/>
    <s v="Entrada"/>
    <n v="50"/>
    <n v="0.88"/>
    <n v="44"/>
    <m/>
  </r>
  <r>
    <d v="2026-09-22T00:00:00"/>
    <s v="30076"/>
    <x v="66"/>
    <s v="Entrada"/>
    <n v="12"/>
    <n v="0.82"/>
    <n v="9.84"/>
    <m/>
  </r>
  <r>
    <d v="2026-09-22T00:00:00"/>
    <s v="30076"/>
    <x v="67"/>
    <s v="Entrada"/>
    <n v="20"/>
    <n v="6.26"/>
    <n v="125.19999999999999"/>
    <m/>
  </r>
  <r>
    <d v="2026-09-22T00:00:00"/>
    <s v="30076"/>
    <x v="68"/>
    <s v="Entrada"/>
    <n v="10"/>
    <n v="1.19"/>
    <n v="11.899999999999999"/>
    <m/>
  </r>
  <r>
    <d v="2026-09-22T00:00:00"/>
    <s v="30076"/>
    <x v="21"/>
    <s v="Entrada"/>
    <n v="8"/>
    <n v="14.65"/>
    <n v="117.2"/>
    <m/>
  </r>
  <r>
    <d v="2026-09-22T00:00:00"/>
    <s v="30076"/>
    <x v="28"/>
    <s v="Entrada"/>
    <n v="10"/>
    <n v="3"/>
    <n v="30"/>
    <m/>
  </r>
  <r>
    <d v="2026-09-22T00:00:00"/>
    <s v="30076"/>
    <x v="16"/>
    <s v="Entrada"/>
    <n v="20"/>
    <n v="26.35"/>
    <n v="527"/>
    <m/>
  </r>
  <r>
    <d v="2026-09-22T00:00:00"/>
    <s v="30076"/>
    <x v="20"/>
    <s v="Entrada"/>
    <n v="10"/>
    <n v="2.34"/>
    <n v="23.4"/>
    <m/>
  </r>
  <r>
    <d v="2026-09-22T00:00:00"/>
    <s v="30076"/>
    <x v="69"/>
    <s v="Entrada"/>
    <n v="4"/>
    <n v="4.9000000000000004"/>
    <n v="19.600000000000001"/>
    <m/>
  </r>
  <r>
    <d v="2026-09-22T00:00:00"/>
    <s v="30076"/>
    <x v="70"/>
    <s v="Entrada"/>
    <n v="11"/>
    <n v="50.62"/>
    <n v="556.81999999999994"/>
    <m/>
  </r>
  <r>
    <d v="2026-09-22T00:00:00"/>
    <s v="30076"/>
    <x v="71"/>
    <s v="Entrada"/>
    <n v="5"/>
    <n v="31.28"/>
    <n v="156.4"/>
    <m/>
  </r>
  <r>
    <d v="2026-09-22T00:00:00"/>
    <s v="30076"/>
    <x v="72"/>
    <s v="Entrada"/>
    <n v="5"/>
    <n v="6.09"/>
    <n v="30.45"/>
    <m/>
  </r>
  <r>
    <d v="2026-09-22T00:00:00"/>
    <s v="30076"/>
    <x v="73"/>
    <s v="Entrada"/>
    <n v="10"/>
    <n v="4.0999999999999996"/>
    <n v="41"/>
    <m/>
  </r>
  <r>
    <d v="2026-09-22T00:00:00"/>
    <s v="30076"/>
    <x v="32"/>
    <s v="Entrada"/>
    <n v="10"/>
    <n v="1.72"/>
    <n v="17.2"/>
    <m/>
  </r>
  <r>
    <d v="2026-09-22T00:00:00"/>
    <s v="30076"/>
    <x v="74"/>
    <s v="Entrada"/>
    <n v="12"/>
    <n v="45.22"/>
    <n v="542.64"/>
    <m/>
  </r>
  <r>
    <d v="2026-09-22T00:00:00"/>
    <s v="30076"/>
    <x v="75"/>
    <s v="Entrada"/>
    <n v="10"/>
    <n v="6.04"/>
    <n v="60.4"/>
    <m/>
  </r>
  <r>
    <d v="2026-09-23T00:00:00"/>
    <s v="28440"/>
    <x v="33"/>
    <s v="Entrada"/>
    <n v="240"/>
    <n v="20.37"/>
    <n v="4888.8"/>
    <m/>
  </r>
  <r>
    <d v="2026-09-23T00:00:00"/>
    <s v="25309"/>
    <x v="37"/>
    <s v="Saída"/>
    <n v="12"/>
    <m/>
    <s v=""/>
    <m/>
  </r>
  <r>
    <d v="2026-09-23T00:00:00"/>
    <s v="25309"/>
    <x v="38"/>
    <s v="Saída"/>
    <n v="12"/>
    <m/>
    <s v=""/>
    <m/>
  </r>
  <r>
    <d v="2026-09-23T00:00:00"/>
    <s v="25309"/>
    <x v="41"/>
    <s v="Saída"/>
    <n v="1"/>
    <m/>
    <s v=""/>
    <m/>
  </r>
  <r>
    <d v="2026-09-23T00:00:00"/>
    <s v="25309"/>
    <x v="42"/>
    <s v="Saída"/>
    <n v="3"/>
    <m/>
    <s v=""/>
    <m/>
  </r>
  <r>
    <d v="2026-09-22T00:00:00"/>
    <s v="25303"/>
    <x v="7"/>
    <s v="Saída"/>
    <n v="1"/>
    <m/>
    <s v=""/>
    <m/>
  </r>
  <r>
    <d v="2026-09-22T00:00:00"/>
    <s v="25307"/>
    <x v="38"/>
    <s v="Saída"/>
    <n v="12"/>
    <m/>
    <s v=""/>
    <m/>
  </r>
  <r>
    <d v="2026-09-22T00:00:00"/>
    <s v="25307"/>
    <x v="37"/>
    <s v="Saída"/>
    <n v="12"/>
    <m/>
    <s v=""/>
    <m/>
  </r>
  <r>
    <d v="2026-09-22T00:00:00"/>
    <s v="25305"/>
    <x v="42"/>
    <s v="Saída"/>
    <n v="2"/>
    <m/>
    <s v=""/>
    <m/>
  </r>
  <r>
    <d v="2026-09-22T00:00:00"/>
    <s v="25305"/>
    <x v="41"/>
    <s v="Saída"/>
    <n v="2"/>
    <m/>
    <s v=""/>
    <m/>
  </r>
  <r>
    <d v="2026-09-23T00:00:00"/>
    <s v="25310"/>
    <x v="38"/>
    <s v="Saída"/>
    <n v="12"/>
    <m/>
    <s v=""/>
    <m/>
  </r>
  <r>
    <d v="2026-09-23T00:00:00"/>
    <s v="25507"/>
    <x v="33"/>
    <s v="Saída"/>
    <n v="80"/>
    <m/>
    <s v=""/>
    <m/>
  </r>
  <r>
    <d v="2026-09-23T00:00:00"/>
    <s v="25507"/>
    <x v="36"/>
    <s v="Saída"/>
    <n v="150"/>
    <m/>
    <s v=""/>
    <m/>
  </r>
  <r>
    <d v="2026-09-24T00:00:00"/>
    <s v="25311"/>
    <x v="71"/>
    <s v="Saída"/>
    <n v="1"/>
    <m/>
    <s v=""/>
    <m/>
  </r>
  <r>
    <d v="2026-09-24T00:00:00"/>
    <s v="25311"/>
    <x v="32"/>
    <s v="Saída"/>
    <n v="2"/>
    <m/>
    <s v=""/>
    <m/>
  </r>
  <r>
    <d v="2026-09-24T00:00:00"/>
    <s v="25311"/>
    <x v="75"/>
    <s v="Saída"/>
    <n v="3"/>
    <m/>
    <s v=""/>
    <m/>
  </r>
  <r>
    <d v="2026-09-24T00:00:00"/>
    <s v="25311"/>
    <x v="70"/>
    <s v="Saída"/>
    <n v="2"/>
    <m/>
    <s v=""/>
    <m/>
  </r>
  <r>
    <d v="2026-09-24T00:00:00"/>
    <s v="25311"/>
    <x v="21"/>
    <s v="Saída"/>
    <n v="1"/>
    <m/>
    <s v=""/>
    <m/>
  </r>
  <r>
    <d v="2026-09-24T00:00:00"/>
    <s v="25311"/>
    <x v="28"/>
    <s v="Saída"/>
    <n v="1"/>
    <m/>
    <s v=""/>
    <m/>
  </r>
  <r>
    <d v="2026-09-24T00:00:00"/>
    <s v="25509"/>
    <x v="34"/>
    <s v="Saída"/>
    <n v="1"/>
    <m/>
    <s v=""/>
    <m/>
  </r>
  <r>
    <d v="2026-09-24T00:00:00"/>
    <s v="896006"/>
    <x v="67"/>
    <s v="Saída"/>
    <n v="2"/>
    <m/>
    <s v=""/>
    <m/>
  </r>
  <r>
    <d v="2026-09-24T00:00:00"/>
    <s v="896006"/>
    <x v="70"/>
    <s v="Saída"/>
    <n v="1"/>
    <m/>
    <s v=""/>
    <m/>
  </r>
  <r>
    <d v="2026-09-24T00:00:00"/>
    <s v="896006"/>
    <x v="68"/>
    <s v="Saída"/>
    <n v="1"/>
    <m/>
    <s v=""/>
    <m/>
  </r>
  <r>
    <d v="2026-09-24T00:00:00"/>
    <s v="896006"/>
    <x v="73"/>
    <s v="Saída"/>
    <n v="2"/>
    <m/>
    <s v=""/>
    <m/>
  </r>
  <r>
    <d v="2026-09-24T00:00:00"/>
    <s v="896006"/>
    <x v="17"/>
    <s v="Saída"/>
    <n v="5"/>
    <m/>
    <s v=""/>
    <m/>
  </r>
  <r>
    <d v="2026-09-24T00:00:00"/>
    <s v="896006"/>
    <x v="16"/>
    <s v="Saída"/>
    <n v="1"/>
    <m/>
    <s v=""/>
    <m/>
  </r>
  <r>
    <d v="2026-09-24T00:00:00"/>
    <s v="896006"/>
    <x v="71"/>
    <s v="Saída"/>
    <n v="1"/>
    <m/>
    <s v=""/>
    <m/>
  </r>
  <r>
    <d v="2026-09-24T00:00:00"/>
    <s v="896005"/>
    <x v="21"/>
    <s v="Saída"/>
    <n v="1"/>
    <m/>
    <s v=""/>
    <m/>
  </r>
  <r>
    <d v="2026-09-24T00:00:00"/>
    <s v="896005"/>
    <x v="28"/>
    <s v="Saída"/>
    <n v="1"/>
    <m/>
    <s v=""/>
    <m/>
  </r>
  <r>
    <d v="2026-09-24T00:00:00"/>
    <s v="896005"/>
    <x v="20"/>
    <s v="Saída"/>
    <n v="1"/>
    <m/>
    <s v=""/>
    <m/>
  </r>
  <r>
    <d v="2026-09-24T00:00:00"/>
    <s v="896005"/>
    <x v="72"/>
    <s v="Saída"/>
    <n v="1"/>
    <m/>
    <s v=""/>
    <m/>
  </r>
  <r>
    <d v="2026-09-24T00:00:00"/>
    <s v="896005"/>
    <x v="68"/>
    <s v="Saída"/>
    <n v="1"/>
    <m/>
    <s v=""/>
    <m/>
  </r>
  <r>
    <d v="2026-09-24T00:00:00"/>
    <s v="896005"/>
    <x v="66"/>
    <s v="Saída"/>
    <n v="1"/>
    <m/>
    <s v=""/>
    <m/>
  </r>
  <r>
    <d v="2026-09-24T00:00:00"/>
    <s v="896005"/>
    <x v="32"/>
    <s v="Saída"/>
    <n v="1"/>
    <m/>
    <s v=""/>
    <m/>
  </r>
  <r>
    <d v="2026-09-24T00:00:00"/>
    <s v="896005"/>
    <x v="0"/>
    <s v="Saída"/>
    <n v="69"/>
    <m/>
    <s v=""/>
    <m/>
  </r>
  <r>
    <d v="2026-09-22T00:00:00"/>
    <s v="449843"/>
    <x v="76"/>
    <s v="Entrada"/>
    <n v="50"/>
    <n v="358"/>
    <n v="17900"/>
    <m/>
  </r>
  <r>
    <d v="2026-09-24T00:00:00"/>
    <s v="25512"/>
    <x v="12"/>
    <s v="Saída"/>
    <n v="1"/>
    <m/>
    <s v=""/>
    <m/>
  </r>
  <r>
    <d v="2026-09-24T00:00:00"/>
    <s v="25512"/>
    <x v="8"/>
    <s v="Saída"/>
    <n v="1"/>
    <m/>
    <s v=""/>
    <m/>
  </r>
  <r>
    <d v="2026-09-24T00:00:00"/>
    <s v="1690"/>
    <x v="58"/>
    <s v="Entrada"/>
    <n v="5"/>
    <n v="8.9"/>
    <n v="44.5"/>
    <m/>
  </r>
  <r>
    <d v="2026-09-24T00:00:00"/>
    <s v="1690"/>
    <x v="25"/>
    <s v="Entrada"/>
    <n v="80"/>
    <n v="3.9249999999999998"/>
    <n v="314"/>
    <m/>
  </r>
  <r>
    <d v="2026-09-24T00:00:00"/>
    <s v="1690"/>
    <x v="77"/>
    <s v="Entrada"/>
    <n v="5"/>
    <n v="20.3"/>
    <n v="101.5"/>
    <m/>
  </r>
  <r>
    <d v="2026-09-24T00:00:00"/>
    <s v="1690"/>
    <x v="7"/>
    <s v="Entrada"/>
    <n v="30"/>
    <n v="1.35"/>
    <n v="40.5"/>
    <m/>
  </r>
  <r>
    <d v="2026-09-24T00:00:00"/>
    <s v="1690"/>
    <x v="78"/>
    <s v="Entrada"/>
    <n v="30"/>
    <n v="1.42"/>
    <n v="42.599999999999994"/>
    <m/>
  </r>
  <r>
    <d v="2026-09-24T00:00:00"/>
    <s v="1690"/>
    <x v="8"/>
    <s v="Entrada"/>
    <n v="80"/>
    <n v="3.3119000000000001"/>
    <n v="264.952"/>
    <m/>
  </r>
  <r>
    <d v="2026-09-24T00:00:00"/>
    <s v="1690"/>
    <x v="79"/>
    <s v="Entrada"/>
    <n v="10"/>
    <n v="3.08"/>
    <n v="30.8"/>
    <m/>
  </r>
  <r>
    <d v="2026-09-24T00:00:00"/>
    <s v="1690"/>
    <x v="80"/>
    <s v="Entrada"/>
    <n v="5"/>
    <n v="13.66"/>
    <n v="68.3"/>
    <m/>
  </r>
  <r>
    <d v="2026-09-24T00:00:00"/>
    <s v="1690"/>
    <x v="81"/>
    <s v="Entrada"/>
    <n v="5"/>
    <n v="9.65"/>
    <n v="48.25"/>
    <m/>
  </r>
  <r>
    <d v="2026-09-24T00:00:00"/>
    <s v="1690"/>
    <x v="82"/>
    <s v="Entrada"/>
    <n v="1"/>
    <n v="165"/>
    <n v="165"/>
    <m/>
  </r>
  <r>
    <d v="2026-09-24T00:00:00"/>
    <s v="1690"/>
    <x v="12"/>
    <s v="Entrada"/>
    <n v="50"/>
    <n v="4.5999999999999996"/>
    <n v="229.99999999999997"/>
    <m/>
  </r>
  <r>
    <d v="2026-09-24T00:00:00"/>
    <s v="1690"/>
    <x v="83"/>
    <s v="Entrada"/>
    <n v="10"/>
    <n v="13.79"/>
    <n v="137.89999999999998"/>
    <m/>
  </r>
  <r>
    <d v="2026-09-24T00:00:00"/>
    <s v="1690"/>
    <x v="13"/>
    <s v="Entrada"/>
    <n v="5"/>
    <n v="2.67"/>
    <n v="13.35"/>
    <m/>
  </r>
  <r>
    <d v="2026-09-24T00:00:00"/>
    <s v="017970"/>
    <x v="7"/>
    <s v="Saída"/>
    <n v="1"/>
    <m/>
    <s v=""/>
    <m/>
  </r>
  <r>
    <d v="2026-09-24T00:00:00"/>
    <s v="017970"/>
    <x v="25"/>
    <s v="Saída"/>
    <n v="3"/>
    <m/>
    <s v=""/>
    <m/>
  </r>
  <r>
    <d v="2026-09-24T00:00:00"/>
    <s v="017970"/>
    <x v="8"/>
    <s v="Saída"/>
    <n v="2"/>
    <m/>
    <s v=""/>
    <m/>
  </r>
  <r>
    <d v="2026-09-24T00:00:00"/>
    <s v="017969"/>
    <x v="12"/>
    <s v="Saída"/>
    <n v="1"/>
    <m/>
    <s v=""/>
    <m/>
  </r>
  <r>
    <d v="2026-09-24T00:00:00"/>
    <s v="017969"/>
    <x v="25"/>
    <s v="Saída"/>
    <n v="1"/>
    <m/>
    <s v=""/>
    <m/>
  </r>
  <r>
    <d v="2026-09-24T00:00:00"/>
    <s v="017969"/>
    <x v="58"/>
    <s v="Saída"/>
    <n v="1"/>
    <m/>
    <s v=""/>
    <m/>
  </r>
  <r>
    <d v="2026-09-24T00:00:00"/>
    <s v="25316"/>
    <x v="21"/>
    <s v="Saída"/>
    <n v="1"/>
    <m/>
    <s v=""/>
    <m/>
  </r>
  <r>
    <d v="2026-09-24T00:00:00"/>
    <s v="25316"/>
    <x v="74"/>
    <s v="Saída"/>
    <n v="1"/>
    <m/>
    <s v=""/>
    <m/>
  </r>
  <r>
    <d v="2026-09-24T00:00:00"/>
    <s v="25317"/>
    <x v="12"/>
    <s v="Saída"/>
    <n v="1"/>
    <m/>
    <s v=""/>
    <m/>
  </r>
  <r>
    <d v="2026-09-25T00:00:00"/>
    <s v="INVENTÁRIO"/>
    <x v="26"/>
    <s v="Saída"/>
    <n v="4"/>
    <m/>
    <s v=""/>
    <m/>
  </r>
  <r>
    <d v="2026-09-25T00:00:00"/>
    <s v="INVENTÁRIO"/>
    <x v="9"/>
    <s v="Saída"/>
    <n v="2"/>
    <m/>
    <s v=""/>
    <m/>
  </r>
  <r>
    <d v="2026-09-25T00:00:00"/>
    <s v="INVENTÁRIO"/>
    <x v="36"/>
    <s v="Saída"/>
    <n v="150"/>
    <m/>
    <s v=""/>
    <m/>
  </r>
  <r>
    <d v="2026-09-25T00:00:00"/>
    <s v="INVENTÁRIO"/>
    <x v="17"/>
    <s v="Saída"/>
    <n v="15"/>
    <m/>
    <s v=""/>
    <m/>
  </r>
  <r>
    <d v="2026-09-25T00:00:00"/>
    <s v="INVENTÁRIO"/>
    <x v="34"/>
    <s v="Saída"/>
    <n v="3"/>
    <m/>
    <s v=""/>
    <m/>
  </r>
  <r>
    <d v="2026-09-25T00:00:00"/>
    <s v="INVENTÁRIO"/>
    <x v="29"/>
    <s v="Saída"/>
    <n v="3"/>
    <m/>
    <s v=""/>
    <m/>
  </r>
  <r>
    <d v="2026-09-25T00:00:00"/>
    <s v="INVENTÁRIO"/>
    <x v="20"/>
    <s v="Saída"/>
    <n v="3"/>
    <m/>
    <s v=""/>
    <m/>
  </r>
  <r>
    <d v="2026-09-25T00:00:00"/>
    <s v="INVENTÁRIO"/>
    <x v="19"/>
    <s v="Saída"/>
    <n v="2"/>
    <m/>
    <s v=""/>
    <m/>
  </r>
  <r>
    <d v="2026-09-25T00:00:00"/>
    <s v="INVENTÁRIO"/>
    <x v="12"/>
    <s v="Saída"/>
    <n v="16"/>
    <m/>
    <s v=""/>
    <m/>
  </r>
  <r>
    <d v="2026-09-25T00:00:00"/>
    <s v="INVENTÁRIO"/>
    <x v="10"/>
    <s v="Saída"/>
    <n v="2"/>
    <m/>
    <s v=""/>
    <m/>
  </r>
  <r>
    <d v="2026-09-25T00:00:00"/>
    <s v="INVENTÁRIO"/>
    <x v="14"/>
    <s v="Saída"/>
    <n v="10"/>
    <m/>
    <s v=""/>
    <m/>
  </r>
  <r>
    <d v="2026-09-25T00:00:00"/>
    <s v="INVENTÁRIO"/>
    <x v="11"/>
    <s v="Saída"/>
    <n v="5"/>
    <m/>
    <s v=""/>
    <m/>
  </r>
  <r>
    <d v="2026-09-25T00:00:00"/>
    <s v="INVENTÁRIO"/>
    <x v="31"/>
    <s v="Saída"/>
    <n v="1"/>
    <m/>
    <s v=""/>
    <m/>
  </r>
  <r>
    <d v="2026-09-25T00:00:00"/>
    <s v="INVENTÁRIO"/>
    <x v="32"/>
    <s v="Saída"/>
    <n v="2"/>
    <m/>
    <s v=""/>
    <m/>
  </r>
  <r>
    <d v="2026-09-25T00:00:00"/>
    <s v="INVENTÁRIO"/>
    <x v="5"/>
    <s v="Saída"/>
    <n v="1"/>
    <m/>
    <s v=""/>
    <m/>
  </r>
  <r>
    <d v="2026-09-25T00:00:00"/>
    <s v="INVENTÁRIO"/>
    <x v="23"/>
    <s v="Saída"/>
    <n v="2"/>
    <m/>
    <s v=""/>
    <m/>
  </r>
  <r>
    <d v="2026-09-25T00:00:00"/>
    <s v="INVENTÁRIO"/>
    <x v="22"/>
    <s v="Saída"/>
    <n v="2"/>
    <m/>
    <s v=""/>
    <m/>
  </r>
  <r>
    <d v="2026-09-25T00:00:00"/>
    <s v="INVENTÁRIO"/>
    <x v="21"/>
    <s v="Saída"/>
    <n v="2"/>
    <m/>
    <s v=""/>
    <m/>
  </r>
  <r>
    <d v="2026-09-25T00:00:00"/>
    <s v="INVENTÁRIO"/>
    <x v="28"/>
    <s v="Saída"/>
    <n v="2"/>
    <m/>
    <s v=""/>
    <m/>
  </r>
  <r>
    <d v="2026-09-25T00:00:00"/>
    <s v="INVENTÁRIO"/>
    <x v="24"/>
    <s v="Saída"/>
    <n v="3"/>
    <m/>
    <s v=""/>
    <m/>
  </r>
  <r>
    <d v="2026-09-25T00:00:00"/>
    <s v="INVENTÁRIO"/>
    <x v="33"/>
    <s v="Saída"/>
    <n v="400"/>
    <m/>
    <s v=""/>
    <m/>
  </r>
  <r>
    <d v="2026-09-25T00:00:00"/>
    <s v="INVENTÁRIO"/>
    <x v="13"/>
    <s v="Saída"/>
    <n v="5"/>
    <m/>
    <s v=""/>
    <m/>
  </r>
  <r>
    <d v="2026-09-25T00:00:00"/>
    <s v="INVENTÁRIO"/>
    <x v="16"/>
    <s v="Saída"/>
    <n v="4"/>
    <m/>
    <s v=""/>
    <m/>
  </r>
  <r>
    <d v="2026-09-25T00:00:00"/>
    <s v="INVENTÁRIO"/>
    <x v="18"/>
    <s v="Saída"/>
    <n v="4"/>
    <m/>
    <s v=""/>
    <m/>
  </r>
  <r>
    <d v="2026-09-25T00:00:00"/>
    <s v="INVENTÁRIO"/>
    <x v="25"/>
    <s v="Saída"/>
    <n v="1"/>
    <m/>
    <s v=""/>
    <m/>
  </r>
  <r>
    <d v="2026-09-25T00:00:00"/>
    <s v="INVENTÁRIO"/>
    <x v="15"/>
    <s v="Saída"/>
    <n v="2"/>
    <m/>
    <s v=""/>
    <m/>
  </r>
  <r>
    <d v="2026-09-25T00:00:00"/>
    <s v="INVENTÁRIO"/>
    <x v="78"/>
    <s v="Saída"/>
    <n v="10"/>
    <m/>
    <s v=""/>
    <m/>
  </r>
  <r>
    <d v="2026-09-25T00:00:00"/>
    <s v="INVENTÁRIO"/>
    <x v="7"/>
    <s v="Saída"/>
    <n v="7"/>
    <m/>
    <s v=""/>
    <m/>
  </r>
  <r>
    <d v="2026-09-25T00:00:00"/>
    <s v="INVENTÁRIO"/>
    <x v="37"/>
    <s v="Saída"/>
    <n v="28"/>
    <m/>
    <s v=""/>
    <m/>
  </r>
  <r>
    <d v="2026-09-25T00:00:00"/>
    <s v="INVENTÁRIO"/>
    <x v="38"/>
    <s v="Saída"/>
    <n v="51"/>
    <m/>
    <s v=""/>
    <m/>
  </r>
  <r>
    <d v="2026-09-25T00:00:00"/>
    <s v="INVENTÁRIO"/>
    <x v="41"/>
    <s v="Saída"/>
    <n v="2"/>
    <m/>
    <s v=""/>
    <m/>
  </r>
  <r>
    <d v="2026-09-25T00:00:00"/>
    <s v="INVENTÁRIO"/>
    <x v="42"/>
    <s v="Saída"/>
    <n v="4"/>
    <m/>
    <s v=""/>
    <m/>
  </r>
  <r>
    <d v="2026-09-25T00:00:00"/>
    <s v="INVENTÁRIO"/>
    <x v="55"/>
    <s v="Saída"/>
    <n v="3"/>
    <m/>
    <s v=""/>
    <m/>
  </r>
  <r>
    <d v="2026-09-24T00:00:00"/>
    <s v="25514"/>
    <x v="33"/>
    <s v="Saída"/>
    <n v="80"/>
    <m/>
    <s v=""/>
    <m/>
  </r>
  <r>
    <d v="2026-09-25T00:00:00"/>
    <s v="25319"/>
    <x v="12"/>
    <s v="Saída"/>
    <n v="1"/>
    <m/>
    <s v=""/>
    <m/>
  </r>
  <r>
    <d v="2026-09-25T00:00:00"/>
    <s v="25319"/>
    <x v="10"/>
    <s v="Saída"/>
    <n v="1"/>
    <m/>
    <s v=""/>
    <m/>
  </r>
  <r>
    <d v="2026-09-25T00:00:00"/>
    <s v="25319"/>
    <x v="80"/>
    <s v="Saída"/>
    <n v="1"/>
    <m/>
    <s v=""/>
    <m/>
  </r>
  <r>
    <d v="2026-09-25T00:00:00"/>
    <s v="25319"/>
    <x v="78"/>
    <s v="Saída"/>
    <n v="1"/>
    <m/>
    <s v=""/>
    <m/>
  </r>
  <r>
    <d v="2026-09-25T00:00:00"/>
    <s v="28461"/>
    <x v="35"/>
    <s v="Entrada"/>
    <n v="250"/>
    <n v="16.68"/>
    <n v="4170"/>
    <m/>
  </r>
  <r>
    <d v="2026-09-25T00:00:00"/>
    <s v="25367"/>
    <x v="34"/>
    <s v="Saída"/>
    <n v="2"/>
    <m/>
    <s v=""/>
    <m/>
  </r>
  <r>
    <d v="2026-09-25T00:00:00"/>
    <s v="25370"/>
    <x v="55"/>
    <s v="Saída"/>
    <n v="1"/>
    <m/>
    <s v=""/>
    <m/>
  </r>
  <r>
    <d v="2026-09-25T00:00:00"/>
    <s v="25368"/>
    <x v="55"/>
    <s v="Saída"/>
    <n v="3"/>
    <m/>
    <s v=""/>
    <m/>
  </r>
  <r>
    <d v="2026-09-25T00:00:00"/>
    <s v="25318"/>
    <x v="12"/>
    <s v="Saída"/>
    <n v="1"/>
    <m/>
    <s v=""/>
    <m/>
  </r>
  <r>
    <d v="2026-09-25T00:00:00"/>
    <s v="26251"/>
    <x v="17"/>
    <s v="Saída"/>
    <n v="1"/>
    <m/>
    <s v=""/>
    <m/>
  </r>
  <r>
    <d v="2026-09-25T00:00:00"/>
    <s v="26251"/>
    <x v="72"/>
    <s v="Saída"/>
    <n v="1"/>
    <m/>
    <s v=""/>
    <m/>
  </r>
  <r>
    <d v="2026-09-25T00:00:00"/>
    <s v="25401"/>
    <x v="72"/>
    <s v="Saída"/>
    <n v="1"/>
    <m/>
    <s v=""/>
    <m/>
  </r>
  <r>
    <d v="2026-09-25T00:00:00"/>
    <s v="25401"/>
    <x v="17"/>
    <s v="Saída"/>
    <n v="1"/>
    <m/>
    <s v=""/>
    <m/>
  </r>
  <r>
    <d v="2026-09-25T00:00:00"/>
    <s v="25369"/>
    <x v="55"/>
    <s v="Saída"/>
    <n v="1"/>
    <m/>
    <s v=""/>
    <m/>
  </r>
  <r>
    <d v="2026-09-23T00:00:00"/>
    <s v="25358"/>
    <x v="78"/>
    <s v="Saída"/>
    <n v="5"/>
    <m/>
    <s v=""/>
    <m/>
  </r>
  <r>
    <d v="2026-09-23T00:00:00"/>
    <s v="25358"/>
    <x v="4"/>
    <s v="Saída"/>
    <n v="4"/>
    <m/>
    <s v=""/>
    <m/>
  </r>
  <r>
    <d v="2026-09-23T00:00:00"/>
    <s v="25358"/>
    <x v="8"/>
    <s v="Saída"/>
    <n v="4"/>
    <m/>
    <s v=""/>
    <m/>
  </r>
  <r>
    <d v="2026-09-23T00:00:00"/>
    <s v="25358"/>
    <x v="12"/>
    <s v="Saída"/>
    <n v="2"/>
    <m/>
    <s v=""/>
    <m/>
  </r>
  <r>
    <d v="2026-09-26T00:00:00"/>
    <s v="25323"/>
    <x v="68"/>
    <s v="Saída"/>
    <n v="1"/>
    <m/>
    <s v=""/>
    <m/>
  </r>
  <r>
    <d v="2026-09-26T00:00:00"/>
    <s v="25323"/>
    <x v="72"/>
    <s v="Saída"/>
    <n v="1"/>
    <m/>
    <s v=""/>
    <m/>
  </r>
  <r>
    <d v="2026-09-26T00:00:00"/>
    <s v="25323"/>
    <x v="25"/>
    <s v="Saída"/>
    <n v="1"/>
    <m/>
    <s v=""/>
    <m/>
  </r>
  <r>
    <d v="2026-09-26T00:00:00"/>
    <s v="25375"/>
    <x v="34"/>
    <s v="Saída"/>
    <n v="2"/>
    <m/>
    <s v=""/>
    <m/>
  </r>
  <r>
    <d v="2026-09-26T00:00:00"/>
    <s v="25402"/>
    <x v="34"/>
    <s v="Saída"/>
    <n v="1"/>
    <m/>
    <s v=""/>
    <m/>
  </r>
  <r>
    <d v="2026-09-26T00:00:00"/>
    <s v="016964"/>
    <x v="12"/>
    <s v="Saída"/>
    <n v="1"/>
    <m/>
    <s v=""/>
    <m/>
  </r>
  <r>
    <d v="2026-09-25T00:00:00"/>
    <s v="25321"/>
    <x v="83"/>
    <s v="Saída"/>
    <n v="1"/>
    <m/>
    <s v=""/>
    <m/>
  </r>
  <r>
    <d v="2026-09-25T00:00:00"/>
    <s v="25321"/>
    <x v="21"/>
    <s v="Saída"/>
    <n v="1"/>
    <m/>
    <s v=""/>
    <m/>
  </r>
  <r>
    <d v="2026-09-26T00:00:00"/>
    <s v="25517"/>
    <x v="35"/>
    <s v="Saída"/>
    <n v="50"/>
    <m/>
    <s v=""/>
    <m/>
  </r>
  <r>
    <d v="2026-09-26T00:00:00"/>
    <s v="25517"/>
    <x v="2"/>
    <s v="Saída"/>
    <n v="50"/>
    <m/>
    <s v=""/>
    <m/>
  </r>
  <r>
    <d v="2026-09-26T00:00:00"/>
    <s v="25325"/>
    <x v="21"/>
    <s v="Saída"/>
    <n v="1"/>
    <m/>
    <s v=""/>
    <m/>
  </r>
  <r>
    <d v="2026-09-26T00:00:00"/>
    <s v="25325"/>
    <x v="28"/>
    <s v="Saída"/>
    <n v="1"/>
    <m/>
    <s v=""/>
    <m/>
  </r>
  <r>
    <d v="2026-09-26T00:00:00"/>
    <s v="25325"/>
    <x v="68"/>
    <s v="Saída"/>
    <n v="1"/>
    <m/>
    <s v=""/>
    <m/>
  </r>
  <r>
    <d v="2026-09-26T00:00:00"/>
    <s v="25325"/>
    <x v="83"/>
    <s v="Saída"/>
    <n v="1"/>
    <m/>
    <s v=""/>
    <m/>
  </r>
  <r>
    <d v="2026-09-26T00:00:00"/>
    <s v="25325"/>
    <x v="58"/>
    <s v="Saída"/>
    <n v="1"/>
    <m/>
    <s v=""/>
    <m/>
  </r>
  <r>
    <d v="2026-09-26T00:00:00"/>
    <s v="25325"/>
    <x v="25"/>
    <s v="Saída"/>
    <n v="1"/>
    <m/>
    <s v=""/>
    <m/>
  </r>
  <r>
    <d v="2026-09-26T00:00:00"/>
    <s v="25325"/>
    <x v="8"/>
    <s v="Saída"/>
    <n v="1"/>
    <m/>
    <s v=""/>
    <m/>
  </r>
  <r>
    <d v="2026-09-25T00:00:00"/>
    <s v="25373"/>
    <x v="33"/>
    <s v="Saída"/>
    <n v="80"/>
    <m/>
    <s v=""/>
    <m/>
  </r>
  <r>
    <d v="2026-09-26T00:00:00"/>
    <s v="1264"/>
    <x v="84"/>
    <s v="Entrada"/>
    <n v="48"/>
    <n v="7.5"/>
    <n v="360"/>
    <m/>
  </r>
  <r>
    <d v="2026-09-26T00:00:00"/>
    <s v="1264"/>
    <x v="41"/>
    <s v="Entrada"/>
    <n v="10"/>
    <n v="20"/>
    <n v="200"/>
    <m/>
  </r>
  <r>
    <d v="2026-09-26T00:00:00"/>
    <s v="25328"/>
    <x v="16"/>
    <s v="Saída"/>
    <n v="1"/>
    <m/>
    <s v=""/>
    <m/>
  </r>
  <r>
    <d v="2026-09-26T00:00:00"/>
    <s v="25328"/>
    <x v="83"/>
    <s v="Saída"/>
    <n v="1"/>
    <m/>
    <s v=""/>
    <m/>
  </r>
  <r>
    <d v="2026-09-26T00:00:00"/>
    <s v="25328"/>
    <x v="5"/>
    <s v="Saída"/>
    <n v="1"/>
    <m/>
    <s v=""/>
    <m/>
  </r>
  <r>
    <d v="2026-09-26T00:00:00"/>
    <s v="25516"/>
    <x v="33"/>
    <s v="Saída"/>
    <n v="80"/>
    <m/>
    <s v=""/>
    <m/>
  </r>
  <r>
    <d v="2026-09-26T00:00:00"/>
    <s v="25518"/>
    <x v="2"/>
    <s v="Saída"/>
    <n v="100"/>
    <m/>
    <s v=""/>
    <m/>
  </r>
  <r>
    <d v="2026-09-26T00:00:00"/>
    <s v="28471"/>
    <x v="33"/>
    <s v="Entrada"/>
    <n v="240"/>
    <n v="20.37"/>
    <n v="4888.8"/>
    <m/>
  </r>
  <r>
    <d v="2026-09-28T00:00:00"/>
    <s v="25380"/>
    <x v="12"/>
    <s v="Saída"/>
    <n v="2"/>
    <m/>
    <s v=""/>
    <m/>
  </r>
  <r>
    <d v="2026-09-28T00:00:00"/>
    <s v="25380"/>
    <x v="7"/>
    <s v="Saída"/>
    <n v="1"/>
    <m/>
    <s v=""/>
    <m/>
  </r>
  <r>
    <d v="2026-09-28T00:00:00"/>
    <s v="25379"/>
    <x v="34"/>
    <s v="Saída"/>
    <n v="2"/>
    <m/>
    <m/>
    <m/>
  </r>
  <r>
    <d v="2026-09-28T00:00:00"/>
    <s v="25521"/>
    <x v="84"/>
    <s v="Saída"/>
    <n v="2"/>
    <m/>
    <s v=""/>
    <m/>
  </r>
  <r>
    <d v="2026-09-28T00:00:00"/>
    <s v="25521"/>
    <x v="41"/>
    <s v="Saída"/>
    <n v="1"/>
    <m/>
    <s v=""/>
    <m/>
  </r>
  <r>
    <d v="2026-09-28T00:00:00"/>
    <s v="25521"/>
    <x v="34"/>
    <s v="Saída"/>
    <n v="2"/>
    <m/>
    <s v=""/>
    <m/>
  </r>
  <r>
    <d v="2026-09-28T00:00:00"/>
    <s v="25329"/>
    <x v="12"/>
    <s v="Saída"/>
    <n v="1"/>
    <m/>
    <s v=""/>
    <m/>
  </r>
  <r>
    <d v="2026-09-28T00:00:00"/>
    <s v="25329"/>
    <x v="8"/>
    <s v="Saída"/>
    <n v="1"/>
    <m/>
    <s v=""/>
    <m/>
  </r>
  <r>
    <d v="2026-09-28T00:00:00"/>
    <s v="25329"/>
    <x v="78"/>
    <s v="Saída"/>
    <n v="1"/>
    <m/>
    <s v=""/>
    <m/>
  </r>
  <r>
    <d v="2026-09-28T00:00:00"/>
    <s v="25329"/>
    <x v="7"/>
    <s v="Saída"/>
    <n v="1"/>
    <m/>
    <s v=""/>
    <m/>
  </r>
  <r>
    <d v="2026-09-28T00:00:00"/>
    <s v="25382"/>
    <x v="2"/>
    <s v="Saída"/>
    <n v="200"/>
    <m/>
    <s v=""/>
    <m/>
  </r>
  <r>
    <d v="2026-09-24T00:00:00"/>
    <s v="28453"/>
    <x v="24"/>
    <s v="Entrada"/>
    <n v="2"/>
    <n v="10.46"/>
    <n v="20.92"/>
    <m/>
  </r>
  <r>
    <d v="2026-09-24T00:00:00"/>
    <s v="28453"/>
    <x v="85"/>
    <s v="Entrada"/>
    <n v="2"/>
    <n v="12.8"/>
    <n v="25.6"/>
    <m/>
  </r>
  <r>
    <d v="2026-09-24T00:00:00"/>
    <s v="28453"/>
    <x v="59"/>
    <s v="Entrada"/>
    <n v="2"/>
    <n v="2.0499999999999998"/>
    <n v="4.0999999999999996"/>
    <m/>
  </r>
  <r>
    <d v="2026-09-25T00:00:00"/>
    <s v="28467"/>
    <x v="33"/>
    <s v="Entrada"/>
    <n v="240"/>
    <n v="20.37"/>
    <n v="4888.8"/>
    <m/>
  </r>
  <r>
    <d v="2026-09-25T00:00:00"/>
    <s v="28461"/>
    <x v="2"/>
    <s v="Entrada"/>
    <n v="250"/>
    <n v="16.68"/>
    <n v="4170"/>
    <m/>
  </r>
  <r>
    <d v="2026-09-26T00:00:00"/>
    <s v="28468"/>
    <x v="33"/>
    <s v="Entrada"/>
    <n v="240"/>
    <n v="20.37"/>
    <n v="4888.8"/>
    <m/>
  </r>
  <r>
    <d v="2026-09-24T00:00:00"/>
    <s v="28456"/>
    <x v="26"/>
    <s v="Entrada"/>
    <n v="4"/>
    <n v="7.5"/>
    <n v="30"/>
    <m/>
  </r>
  <r>
    <d v="2026-09-24T00:00:00"/>
    <s v="28454"/>
    <x v="33"/>
    <s v="Entrada"/>
    <n v="240"/>
    <n v="20.37"/>
    <n v="4888.8"/>
    <m/>
  </r>
  <r>
    <d v="2026-09-28T00:00:00"/>
    <s v="27091"/>
    <x v="86"/>
    <s v="Entrada"/>
    <n v="20"/>
    <n v="350"/>
    <n v="7000"/>
    <m/>
  </r>
  <r>
    <d v="2026-09-26T00:00:00"/>
    <s v="28471"/>
    <x v="33"/>
    <s v="Entrada"/>
    <n v="240"/>
    <n v="20.37"/>
    <n v="4888.8"/>
    <m/>
  </r>
  <r>
    <d v="2026-09-26T00:00:00"/>
    <s v="28472"/>
    <x v="5"/>
    <s v="Entrada"/>
    <n v="5"/>
    <n v="12"/>
    <n v="60"/>
    <m/>
  </r>
  <r>
    <d v="2026-09-26T00:00:00"/>
    <s v="28472"/>
    <x v="87"/>
    <s v="Entrada"/>
    <n v="5"/>
    <n v="28"/>
    <n v="140"/>
    <m/>
  </r>
  <r>
    <d v="2026-09-25T00:00:00"/>
    <s v="114875"/>
    <x v="88"/>
    <s v="Entrada"/>
    <n v="1"/>
    <n v="480"/>
    <n v="480"/>
    <m/>
  </r>
  <r>
    <d v="2026-09-25T00:00:00"/>
    <s v="114875"/>
    <x v="89"/>
    <s v="Entrada"/>
    <n v="1"/>
    <n v="650"/>
    <n v="650"/>
    <m/>
  </r>
  <r>
    <d v="2026-09-25T00:00:00"/>
    <s v="114875"/>
    <x v="90"/>
    <s v="Entrada"/>
    <n v="1"/>
    <n v="490"/>
    <n v="490"/>
    <m/>
  </r>
  <r>
    <d v="2026-09-25T00:00:00"/>
    <s v="114875"/>
    <x v="91"/>
    <s v="Entrada"/>
    <n v="4"/>
    <n v="9.8000000000000007"/>
    <n v="39.200000000000003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  <r>
    <m/>
    <m/>
    <x v="6"/>
    <m/>
    <m/>
    <m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1E3BE-800D-46AF-866E-DE2F113866F8}" name="Tabela dinâmica3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ATERIAL">
  <location ref="A3:A96" firstHeaderRow="1" firstDataRow="1" firstDataCol="1"/>
  <pivotFields count="8">
    <pivotField showAll="0"/>
    <pivotField showAll="0"/>
    <pivotField axis="axisRow" showAll="0">
      <items count="143">
        <item m="1" x="130"/>
        <item m="1" x="129"/>
        <item x="30"/>
        <item x="36"/>
        <item x="17"/>
        <item x="34"/>
        <item x="29"/>
        <item x="20"/>
        <item x="19"/>
        <item x="12"/>
        <item x="10"/>
        <item x="35"/>
        <item m="1" x="119"/>
        <item x="14"/>
        <item x="11"/>
        <item x="31"/>
        <item x="32"/>
        <item x="5"/>
        <item x="23"/>
        <item x="22"/>
        <item x="21"/>
        <item m="1" x="137"/>
        <item x="24"/>
        <item x="27"/>
        <item x="33"/>
        <item x="13"/>
        <item x="16"/>
        <item m="1" x="140"/>
        <item m="1" x="100"/>
        <item x="15"/>
        <item x="18"/>
        <item x="78"/>
        <item x="7"/>
        <item x="6"/>
        <item x="37"/>
        <item m="1" x="120"/>
        <item x="38"/>
        <item m="1" x="141"/>
        <item x="39"/>
        <item x="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11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138"/>
        <item x="68"/>
        <item x="69"/>
        <item x="70"/>
        <item x="71"/>
        <item x="72"/>
        <item x="73"/>
        <item x="74"/>
        <item x="75"/>
        <item x="67"/>
        <item x="0"/>
        <item x="76"/>
        <item x="77"/>
        <item x="79"/>
        <item m="1" x="118"/>
        <item x="81"/>
        <item x="82"/>
        <item x="83"/>
        <item m="1" x="101"/>
        <item m="1" x="108"/>
        <item m="1" x="139"/>
        <item m="1" x="136"/>
        <item m="1" x="133"/>
        <item m="1" x="134"/>
        <item m="1" x="135"/>
        <item x="28"/>
        <item m="1" x="132"/>
        <item m="1" x="117"/>
        <item m="1" x="131"/>
        <item m="1" x="128"/>
        <item m="1" x="126"/>
        <item x="26"/>
        <item m="1" x="127"/>
        <item x="9"/>
        <item m="1" x="122"/>
        <item x="1"/>
        <item m="1" x="125"/>
        <item x="80"/>
        <item m="1" x="124"/>
        <item m="1" x="123"/>
        <item m="1" x="121"/>
        <item m="1" x="113"/>
        <item m="1" x="114"/>
        <item m="1" x="109"/>
        <item x="55"/>
        <item m="1" x="105"/>
        <item m="1" x="112"/>
        <item m="1" x="116"/>
        <item m="1" x="110"/>
        <item m="1" x="111"/>
        <item x="4"/>
        <item x="8"/>
        <item m="1" x="107"/>
        <item m="1" x="106"/>
        <item m="1" x="99"/>
        <item x="2"/>
        <item m="1" x="102"/>
        <item x="25"/>
        <item m="1" x="104"/>
        <item x="84"/>
        <item m="1" x="103"/>
        <item m="1" x="98"/>
        <item m="1" x="97"/>
        <item m="1" x="92"/>
        <item m="1" x="93"/>
        <item m="1" x="94"/>
        <item m="1" x="95"/>
        <item m="1" x="96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9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2"/>
    </i>
    <i>
      <x v="83"/>
    </i>
    <i>
      <x v="84"/>
    </i>
    <i>
      <x v="92"/>
    </i>
    <i>
      <x v="98"/>
    </i>
    <i>
      <x v="100"/>
    </i>
    <i>
      <x v="102"/>
    </i>
    <i>
      <x v="104"/>
    </i>
    <i>
      <x v="111"/>
    </i>
    <i>
      <x v="117"/>
    </i>
    <i>
      <x v="118"/>
    </i>
    <i>
      <x v="122"/>
    </i>
    <i>
      <x v="124"/>
    </i>
    <i>
      <x v="126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Items count="1">
    <i/>
  </colItems>
  <formats count="2">
    <format dxfId="10">
      <pivotArea field="2" type="button" dataOnly="0" labelOnly="1" outline="0" axis="axisRow" fieldPosition="0"/>
    </format>
    <format dxfId="9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ovimentacoes" displayName="TabelaMovimentacoes" ref="A3:H461" totalsRowShown="0">
  <autoFilter ref="A3:H461" xr:uid="{00000000-000C-0000-FFFF-FFFF00000000}"/>
  <tableColumns count="8">
    <tableColumn id="1" xr3:uid="{00000000-0010-0000-0000-000001000000}" name="Data de Movimentação" dataDxfId="8"/>
    <tableColumn id="8" xr3:uid="{145AF6C9-5074-414D-BE7B-BEEC865C1375}" name="NF/REQ." dataDxfId="7"/>
    <tableColumn id="2" xr3:uid="{00000000-0010-0000-0000-000002000000}" name="Material"/>
    <tableColumn id="3" xr3:uid="{00000000-0010-0000-0000-000003000000}" name="Tipo de Movimentação" dataDxfId="6"/>
    <tableColumn id="4" xr3:uid="{00000000-0010-0000-0000-000004000000}" name="Quantidade" dataDxfId="5"/>
    <tableColumn id="5" xr3:uid="{00000000-0010-0000-0000-000005000000}" name="Custo Unitário (R$)"/>
    <tableColumn id="6" xr3:uid="{00000000-0010-0000-0000-000006000000}" name="Custo Total (R$)"/>
    <tableColumn id="7" xr3:uid="{00000000-0010-0000-0000-000007000000}" name="T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Resumo" displayName="TabelaResumo" ref="B3:F101" totalsRowShown="0">
  <tableColumns count="5">
    <tableColumn id="2" xr3:uid="{00000000-0010-0000-0100-000002000000}" name="Total de Entradas"/>
    <tableColumn id="3" xr3:uid="{00000000-0010-0000-0100-000003000000}" name="Total de Saídas"/>
    <tableColumn id="4" xr3:uid="{00000000-0010-0000-0100-000004000000}" name="Saldo em Estoque"/>
    <tableColumn id="5" xr3:uid="{00000000-0010-0000-0100-000005000000}" name="Valor Médio Unitário (R$)"/>
    <tableColumn id="6" xr3:uid="{00000000-0010-0000-0100-000006000000}" name="Valor em Estoque (R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1"/>
  <sheetViews>
    <sheetView showGridLines="0" zoomScale="89" zoomScaleNormal="89" workbookViewId="0">
      <pane ySplit="3" topLeftCell="A156" activePane="bottomLeft" state="frozen"/>
      <selection pane="bottomLeft" activeCell="E262" sqref="E262:E264"/>
    </sheetView>
  </sheetViews>
  <sheetFormatPr defaultRowHeight="14.25"/>
  <cols>
    <col min="1" max="1" width="17.125" style="7" customWidth="1"/>
    <col min="2" max="2" width="18.5" customWidth="1"/>
    <col min="3" max="3" width="48.75" customWidth="1"/>
    <col min="4" max="4" width="20" style="7" customWidth="1"/>
    <col min="5" max="5" width="12.75" style="7" customWidth="1"/>
    <col min="6" max="7" width="18" customWidth="1"/>
    <col min="8" max="8" width="23.875" customWidth="1"/>
  </cols>
  <sheetData>
    <row r="1" spans="1:8" ht="40.5" customHeight="1">
      <c r="C1" s="12" t="s">
        <v>56</v>
      </c>
    </row>
    <row r="2" spans="1:8" ht="26.25" customHeight="1">
      <c r="C2" s="10" t="s">
        <v>52</v>
      </c>
    </row>
    <row r="3" spans="1:8" ht="32.25" customHeight="1">
      <c r="A3" s="4" t="s">
        <v>0</v>
      </c>
      <c r="B3" s="4" t="s">
        <v>40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175</v>
      </c>
    </row>
    <row r="4" spans="1:8" ht="20.100000000000001" customHeight="1">
      <c r="A4" s="5">
        <v>46273</v>
      </c>
      <c r="B4" s="9" t="s">
        <v>173</v>
      </c>
      <c r="C4" s="11" t="s">
        <v>122</v>
      </c>
      <c r="D4" s="7" t="s">
        <v>39</v>
      </c>
      <c r="E4" s="8">
        <v>69</v>
      </c>
      <c r="F4" s="3"/>
      <c r="G4" s="3"/>
    </row>
    <row r="5" spans="1:8" ht="20.100000000000001" customHeight="1">
      <c r="A5" s="5">
        <v>46273</v>
      </c>
      <c r="B5" s="9" t="s">
        <v>173</v>
      </c>
      <c r="C5" s="11" t="s">
        <v>140</v>
      </c>
      <c r="D5" s="7" t="s">
        <v>39</v>
      </c>
      <c r="E5" s="8">
        <v>2</v>
      </c>
      <c r="F5" s="3"/>
      <c r="G5" s="3"/>
      <c r="H5" t="s">
        <v>174</v>
      </c>
    </row>
    <row r="6" spans="1:8" ht="20.100000000000001" customHeight="1">
      <c r="A6" s="5">
        <v>46273</v>
      </c>
      <c r="B6" s="9" t="s">
        <v>173</v>
      </c>
      <c r="C6" s="11" t="s">
        <v>163</v>
      </c>
      <c r="D6" s="7" t="s">
        <v>39</v>
      </c>
      <c r="E6" s="8">
        <v>150</v>
      </c>
      <c r="F6" s="3"/>
      <c r="G6" s="3"/>
    </row>
    <row r="7" spans="1:8" ht="20.100000000000001" customHeight="1">
      <c r="A7" s="5">
        <v>46273</v>
      </c>
      <c r="B7" s="9" t="s">
        <v>173</v>
      </c>
      <c r="C7" s="11" t="s">
        <v>63</v>
      </c>
      <c r="D7" s="7" t="s">
        <v>39</v>
      </c>
      <c r="E7" s="8">
        <v>4</v>
      </c>
      <c r="F7" s="3"/>
      <c r="G7" s="3"/>
      <c r="H7" t="s">
        <v>176</v>
      </c>
    </row>
    <row r="8" spans="1:8" ht="20.100000000000001" customHeight="1">
      <c r="A8" s="5">
        <v>46273</v>
      </c>
      <c r="B8" s="9" t="s">
        <v>173</v>
      </c>
      <c r="C8" s="11" t="s">
        <v>163</v>
      </c>
      <c r="D8" s="7" t="s">
        <v>39</v>
      </c>
      <c r="E8" s="8">
        <v>200</v>
      </c>
      <c r="F8" s="3"/>
      <c r="G8" s="3"/>
    </row>
    <row r="9" spans="1:8" ht="20.100000000000001" customHeight="1">
      <c r="A9" s="5">
        <v>46273</v>
      </c>
      <c r="B9" s="9" t="s">
        <v>173</v>
      </c>
      <c r="C9" t="s">
        <v>155</v>
      </c>
      <c r="D9" s="7" t="s">
        <v>39</v>
      </c>
      <c r="E9" s="8">
        <v>4</v>
      </c>
      <c r="F9" s="3"/>
      <c r="G9" s="3"/>
    </row>
    <row r="10" spans="1:8" ht="20.100000000000001" customHeight="1">
      <c r="A10" s="5">
        <v>46273</v>
      </c>
      <c r="B10" s="9" t="s">
        <v>173</v>
      </c>
      <c r="C10" t="s">
        <v>32</v>
      </c>
      <c r="D10" s="7" t="s">
        <v>39</v>
      </c>
      <c r="E10" s="8">
        <v>1</v>
      </c>
      <c r="F10" s="3"/>
      <c r="G10" s="3"/>
    </row>
    <row r="11" spans="1:8" ht="20.100000000000001" customHeight="1">
      <c r="A11" s="5">
        <v>46273</v>
      </c>
      <c r="B11" s="9" t="s">
        <v>173</v>
      </c>
      <c r="E11" s="8"/>
      <c r="F11" s="3"/>
      <c r="G11" s="3"/>
    </row>
    <row r="12" spans="1:8" ht="20.100000000000001" customHeight="1">
      <c r="A12" s="5">
        <v>46273</v>
      </c>
      <c r="B12" s="9" t="s">
        <v>173</v>
      </c>
      <c r="E12" s="8"/>
      <c r="F12" s="3"/>
      <c r="G12" s="3"/>
    </row>
    <row r="13" spans="1:8" ht="20.100000000000001" customHeight="1">
      <c r="A13" s="5">
        <v>46273</v>
      </c>
      <c r="B13" s="9" t="s">
        <v>173</v>
      </c>
      <c r="E13" s="8"/>
      <c r="F13" s="3"/>
      <c r="G13" s="3"/>
    </row>
    <row r="14" spans="1:8" ht="20.100000000000001" customHeight="1">
      <c r="A14" s="5">
        <v>46279</v>
      </c>
      <c r="B14" s="9">
        <v>28390</v>
      </c>
      <c r="C14" t="s">
        <v>12</v>
      </c>
      <c r="D14" s="7" t="s">
        <v>39</v>
      </c>
      <c r="E14" s="8">
        <v>10</v>
      </c>
      <c r="F14" s="3">
        <v>2.16</v>
      </c>
      <c r="G14" s="3">
        <f t="shared" ref="G14" si="0">IF(OR(E14="",F14=""),"",E14*F14)</f>
        <v>21.6</v>
      </c>
    </row>
    <row r="15" spans="1:8" ht="20.100000000000001" customHeight="1">
      <c r="A15" s="5">
        <v>46279</v>
      </c>
      <c r="B15" s="9">
        <v>28390</v>
      </c>
      <c r="C15" t="s">
        <v>156</v>
      </c>
      <c r="D15" s="7" t="s">
        <v>39</v>
      </c>
      <c r="E15" s="8">
        <v>1</v>
      </c>
      <c r="F15" s="3">
        <v>4.34</v>
      </c>
      <c r="G15" s="3">
        <f t="shared" ref="G15:G76" si="1">IF(OR(E15="",F15=""),"",E15*F15)</f>
        <v>4.34</v>
      </c>
    </row>
    <row r="16" spans="1:8" ht="20.100000000000001" customHeight="1">
      <c r="A16" s="5">
        <v>46279</v>
      </c>
      <c r="B16" s="9">
        <v>28390</v>
      </c>
      <c r="C16" t="s">
        <v>139</v>
      </c>
      <c r="D16" s="7" t="s">
        <v>39</v>
      </c>
      <c r="E16" s="8">
        <v>5</v>
      </c>
      <c r="F16" s="3">
        <v>2.35</v>
      </c>
      <c r="G16" s="3">
        <f t="shared" si="1"/>
        <v>11.75</v>
      </c>
    </row>
    <row r="17" spans="1:7" ht="20.100000000000001" customHeight="1">
      <c r="A17" s="5">
        <v>46279</v>
      </c>
      <c r="B17" s="9">
        <v>28390</v>
      </c>
      <c r="C17" t="s">
        <v>15</v>
      </c>
      <c r="D17" s="7" t="s">
        <v>39</v>
      </c>
      <c r="E17" s="8">
        <v>10</v>
      </c>
      <c r="F17" s="3">
        <v>2.42</v>
      </c>
      <c r="G17" s="3">
        <f>IF(OR(E17="",F17=""),"",E17*F17)</f>
        <v>24.2</v>
      </c>
    </row>
    <row r="18" spans="1:7" ht="20.100000000000001" customHeight="1">
      <c r="A18" s="5">
        <v>46279</v>
      </c>
      <c r="B18" s="9">
        <v>28390</v>
      </c>
      <c r="C18" t="s">
        <v>16</v>
      </c>
      <c r="D18" s="7" t="s">
        <v>39</v>
      </c>
      <c r="E18" s="8">
        <v>10</v>
      </c>
      <c r="F18" s="3">
        <v>0.95</v>
      </c>
      <c r="G18" s="3">
        <f t="shared" si="1"/>
        <v>9.5</v>
      </c>
    </row>
    <row r="19" spans="1:7" ht="20.100000000000001" customHeight="1">
      <c r="A19" s="5">
        <v>46279</v>
      </c>
      <c r="B19" s="9">
        <v>28390</v>
      </c>
      <c r="C19" t="s">
        <v>17</v>
      </c>
      <c r="D19" s="7" t="s">
        <v>39</v>
      </c>
      <c r="E19" s="8">
        <v>25</v>
      </c>
      <c r="F19" s="3">
        <v>6.51</v>
      </c>
      <c r="G19" s="3">
        <f t="shared" si="1"/>
        <v>162.75</v>
      </c>
    </row>
    <row r="20" spans="1:7" ht="20.100000000000001" customHeight="1">
      <c r="A20" s="5">
        <v>46279</v>
      </c>
      <c r="B20" s="9">
        <v>28390</v>
      </c>
      <c r="C20" t="s">
        <v>18</v>
      </c>
      <c r="D20" s="7" t="s">
        <v>39</v>
      </c>
      <c r="E20" s="8">
        <v>5</v>
      </c>
      <c r="F20" s="3">
        <v>2.98</v>
      </c>
      <c r="G20" s="3">
        <f t="shared" si="1"/>
        <v>14.9</v>
      </c>
    </row>
    <row r="21" spans="1:7" ht="20.100000000000001" customHeight="1">
      <c r="A21" s="5">
        <v>46279</v>
      </c>
      <c r="B21" s="9">
        <v>28390</v>
      </c>
      <c r="C21" t="s">
        <v>19</v>
      </c>
      <c r="D21" s="7" t="s">
        <v>39</v>
      </c>
      <c r="E21" s="8">
        <v>10</v>
      </c>
      <c r="F21" s="3">
        <v>0.48</v>
      </c>
      <c r="G21" s="3">
        <f t="shared" si="1"/>
        <v>4.8</v>
      </c>
    </row>
    <row r="22" spans="1:7" ht="20.100000000000001" customHeight="1">
      <c r="A22" s="5">
        <v>46279</v>
      </c>
      <c r="B22" s="9">
        <v>28390</v>
      </c>
      <c r="C22" t="s">
        <v>20</v>
      </c>
      <c r="D22" s="7" t="s">
        <v>39</v>
      </c>
      <c r="E22" s="8">
        <v>2</v>
      </c>
      <c r="F22" s="3">
        <v>53.91</v>
      </c>
      <c r="G22" s="3">
        <f t="shared" si="1"/>
        <v>107.82</v>
      </c>
    </row>
    <row r="23" spans="1:7" ht="20.100000000000001" customHeight="1">
      <c r="A23" s="5">
        <v>46279</v>
      </c>
      <c r="B23" s="9">
        <v>28390</v>
      </c>
      <c r="C23" t="s">
        <v>21</v>
      </c>
      <c r="D23" s="7" t="s">
        <v>39</v>
      </c>
      <c r="E23" s="8">
        <v>4</v>
      </c>
      <c r="F23" s="3">
        <v>27.16</v>
      </c>
      <c r="G23" s="3">
        <f t="shared" si="1"/>
        <v>108.64</v>
      </c>
    </row>
    <row r="24" spans="1:7" ht="20.100000000000001" customHeight="1">
      <c r="A24" s="5">
        <v>46279</v>
      </c>
      <c r="B24" s="9">
        <v>28390</v>
      </c>
      <c r="C24" t="s">
        <v>22</v>
      </c>
      <c r="D24" s="7" t="s">
        <v>39</v>
      </c>
      <c r="E24" s="8">
        <v>10</v>
      </c>
      <c r="F24" s="3">
        <v>0.9</v>
      </c>
      <c r="G24" s="3">
        <f t="shared" si="1"/>
        <v>9</v>
      </c>
    </row>
    <row r="25" spans="1:7" ht="20.100000000000001" customHeight="1">
      <c r="A25" s="5">
        <v>46279</v>
      </c>
      <c r="B25" s="9">
        <v>28390</v>
      </c>
      <c r="C25" t="s">
        <v>23</v>
      </c>
      <c r="D25" s="7" t="s">
        <v>39</v>
      </c>
      <c r="E25" s="8">
        <v>4</v>
      </c>
      <c r="F25" s="3">
        <v>1.1100000000000001</v>
      </c>
      <c r="G25" s="3">
        <f t="shared" si="1"/>
        <v>4.4400000000000004</v>
      </c>
    </row>
    <row r="26" spans="1:7" ht="20.100000000000001" customHeight="1">
      <c r="A26" s="5">
        <v>46279</v>
      </c>
      <c r="B26" s="9">
        <v>28390</v>
      </c>
      <c r="C26" t="s">
        <v>24</v>
      </c>
      <c r="D26" s="7" t="s">
        <v>39</v>
      </c>
      <c r="E26" s="8">
        <v>2</v>
      </c>
      <c r="F26" s="3">
        <v>2.15</v>
      </c>
      <c r="G26" s="3">
        <f t="shared" si="1"/>
        <v>4.3</v>
      </c>
    </row>
    <row r="27" spans="1:7" ht="20.100000000000001" customHeight="1">
      <c r="A27" s="5">
        <v>46279</v>
      </c>
      <c r="B27" s="9">
        <v>28390</v>
      </c>
      <c r="C27" t="s">
        <v>25</v>
      </c>
      <c r="D27" s="7" t="s">
        <v>39</v>
      </c>
      <c r="E27" s="8">
        <v>3</v>
      </c>
      <c r="F27" s="3">
        <v>2.62</v>
      </c>
      <c r="G27" s="3">
        <f t="shared" si="1"/>
        <v>7.86</v>
      </c>
    </row>
    <row r="28" spans="1:7" ht="20.100000000000001" customHeight="1">
      <c r="A28" s="5">
        <v>46279</v>
      </c>
      <c r="B28" s="9">
        <v>28390</v>
      </c>
      <c r="C28" t="s">
        <v>33</v>
      </c>
      <c r="D28" s="7" t="s">
        <v>39</v>
      </c>
      <c r="E28" s="8">
        <v>1</v>
      </c>
      <c r="F28" s="3">
        <v>14.65</v>
      </c>
      <c r="G28" s="3">
        <f t="shared" si="1"/>
        <v>14.65</v>
      </c>
    </row>
    <row r="29" spans="1:7" ht="20.100000000000001" customHeight="1">
      <c r="A29" s="5">
        <v>38977</v>
      </c>
      <c r="B29" s="9">
        <v>28416</v>
      </c>
      <c r="C29" t="s">
        <v>26</v>
      </c>
      <c r="D29" s="7" t="s">
        <v>39</v>
      </c>
      <c r="E29" s="8">
        <v>2</v>
      </c>
      <c r="F29" s="3">
        <v>25.41</v>
      </c>
      <c r="G29" s="3">
        <f t="shared" si="1"/>
        <v>50.82</v>
      </c>
    </row>
    <row r="30" spans="1:7" ht="20.100000000000001" customHeight="1">
      <c r="A30" s="5">
        <v>38977</v>
      </c>
      <c r="B30" s="9">
        <v>28416</v>
      </c>
      <c r="C30" t="s">
        <v>27</v>
      </c>
      <c r="D30" s="7" t="s">
        <v>39</v>
      </c>
      <c r="E30" s="8">
        <v>2</v>
      </c>
      <c r="F30" s="3">
        <v>7.26</v>
      </c>
      <c r="G30" s="3">
        <f t="shared" si="1"/>
        <v>14.52</v>
      </c>
    </row>
    <row r="31" spans="1:7" ht="20.100000000000001" customHeight="1">
      <c r="A31" s="5">
        <v>38977</v>
      </c>
      <c r="B31" s="9">
        <v>28416</v>
      </c>
      <c r="C31" t="s">
        <v>28</v>
      </c>
      <c r="D31" s="7" t="s">
        <v>39</v>
      </c>
      <c r="E31" s="8">
        <v>2</v>
      </c>
      <c r="F31" s="3">
        <v>9.49</v>
      </c>
      <c r="G31" s="3">
        <f t="shared" si="1"/>
        <v>18.98</v>
      </c>
    </row>
    <row r="32" spans="1:7" ht="20.100000000000001" customHeight="1">
      <c r="A32" s="5">
        <v>38977</v>
      </c>
      <c r="B32" s="9">
        <v>28416</v>
      </c>
      <c r="C32" t="s">
        <v>165</v>
      </c>
      <c r="D32" s="7" t="s">
        <v>39</v>
      </c>
      <c r="E32" s="8">
        <v>1</v>
      </c>
      <c r="F32" s="3">
        <v>6.18</v>
      </c>
      <c r="G32" s="3">
        <f t="shared" si="1"/>
        <v>6.18</v>
      </c>
    </row>
    <row r="33" spans="1:7" ht="20.100000000000001" customHeight="1">
      <c r="A33" s="5">
        <v>46286</v>
      </c>
      <c r="B33" s="9" t="s">
        <v>41</v>
      </c>
      <c r="C33" t="s">
        <v>138</v>
      </c>
      <c r="D33" s="7" t="s">
        <v>39</v>
      </c>
      <c r="E33" s="8">
        <v>4</v>
      </c>
      <c r="F33" s="3">
        <v>7.5</v>
      </c>
      <c r="G33" s="3">
        <f t="shared" si="1"/>
        <v>30</v>
      </c>
    </row>
    <row r="34" spans="1:7" ht="20.100000000000001" customHeight="1">
      <c r="A34" s="5">
        <v>46286</v>
      </c>
      <c r="B34" s="9" t="s">
        <v>41</v>
      </c>
      <c r="C34" t="s">
        <v>31</v>
      </c>
      <c r="D34" s="7" t="s">
        <v>39</v>
      </c>
      <c r="E34" s="8">
        <v>48</v>
      </c>
      <c r="F34" s="3">
        <v>2.0699999999999998</v>
      </c>
      <c r="G34" s="3">
        <f t="shared" si="1"/>
        <v>99.359999999999985</v>
      </c>
    </row>
    <row r="35" spans="1:7" ht="20.100000000000001" customHeight="1">
      <c r="A35" s="5">
        <v>46286</v>
      </c>
      <c r="B35" s="9" t="s">
        <v>42</v>
      </c>
      <c r="C35" t="s">
        <v>28</v>
      </c>
      <c r="D35" s="7" t="s">
        <v>39</v>
      </c>
      <c r="E35" s="8">
        <v>1</v>
      </c>
      <c r="F35" s="3">
        <v>10.46</v>
      </c>
      <c r="G35" s="3">
        <f t="shared" si="1"/>
        <v>10.46</v>
      </c>
    </row>
    <row r="36" spans="1:7" ht="20.100000000000001" customHeight="1">
      <c r="A36" s="5">
        <v>46286</v>
      </c>
      <c r="B36" s="9" t="s">
        <v>42</v>
      </c>
      <c r="C36" t="s">
        <v>32</v>
      </c>
      <c r="D36" s="7" t="s">
        <v>39</v>
      </c>
      <c r="E36" s="8">
        <v>1</v>
      </c>
      <c r="F36" s="3">
        <v>12</v>
      </c>
      <c r="G36" s="3">
        <f t="shared" si="1"/>
        <v>12</v>
      </c>
    </row>
    <row r="37" spans="1:7" ht="20.100000000000001" customHeight="1">
      <c r="A37" s="5">
        <v>46286</v>
      </c>
      <c r="B37" s="9" t="s">
        <v>42</v>
      </c>
      <c r="C37" t="s">
        <v>22</v>
      </c>
      <c r="D37" s="7" t="s">
        <v>39</v>
      </c>
      <c r="E37" s="8">
        <v>5</v>
      </c>
      <c r="F37" s="3">
        <v>0.84</v>
      </c>
      <c r="G37" s="3">
        <f t="shared" si="1"/>
        <v>4.2</v>
      </c>
    </row>
    <row r="38" spans="1:7" ht="20.100000000000001" customHeight="1">
      <c r="A38" s="5">
        <v>46286</v>
      </c>
      <c r="B38" s="9" t="s">
        <v>42</v>
      </c>
      <c r="C38" t="s">
        <v>33</v>
      </c>
      <c r="D38" s="7" t="s">
        <v>39</v>
      </c>
      <c r="E38" s="8">
        <v>1</v>
      </c>
      <c r="F38" s="3">
        <v>14.65</v>
      </c>
      <c r="G38" s="3">
        <f t="shared" si="1"/>
        <v>14.65</v>
      </c>
    </row>
    <row r="39" spans="1:7" ht="20.100000000000001" customHeight="1">
      <c r="A39" s="5">
        <v>46286</v>
      </c>
      <c r="B39" s="9" t="s">
        <v>42</v>
      </c>
      <c r="C39" t="s">
        <v>137</v>
      </c>
      <c r="D39" s="7" t="s">
        <v>39</v>
      </c>
      <c r="E39" s="8">
        <v>2</v>
      </c>
      <c r="F39" s="3">
        <v>4.2300000000000004</v>
      </c>
      <c r="G39" s="3">
        <f t="shared" si="1"/>
        <v>8.4600000000000009</v>
      </c>
    </row>
    <row r="40" spans="1:7" ht="20.100000000000001" customHeight="1">
      <c r="A40" s="5">
        <v>46286</v>
      </c>
      <c r="B40" s="9" t="s">
        <v>42</v>
      </c>
      <c r="C40" t="s">
        <v>35</v>
      </c>
      <c r="D40" s="7" t="s">
        <v>39</v>
      </c>
      <c r="E40" s="8">
        <v>3</v>
      </c>
      <c r="F40" s="3">
        <v>2.34</v>
      </c>
      <c r="G40" s="3">
        <f t="shared" si="1"/>
        <v>7.02</v>
      </c>
    </row>
    <row r="41" spans="1:7" ht="20.100000000000001" customHeight="1">
      <c r="A41" s="5">
        <v>46286</v>
      </c>
      <c r="B41" s="9" t="s">
        <v>42</v>
      </c>
      <c r="C41" t="s">
        <v>36</v>
      </c>
      <c r="D41" s="7" t="s">
        <v>39</v>
      </c>
      <c r="E41" s="8">
        <v>1</v>
      </c>
      <c r="F41" s="3">
        <v>4.12</v>
      </c>
      <c r="G41" s="3">
        <f t="shared" si="1"/>
        <v>4.12</v>
      </c>
    </row>
    <row r="42" spans="1:7" ht="20.100000000000001" customHeight="1">
      <c r="A42" s="5">
        <v>46286</v>
      </c>
      <c r="B42" s="9" t="s">
        <v>42</v>
      </c>
      <c r="C42" t="s">
        <v>37</v>
      </c>
      <c r="D42" s="7" t="s">
        <v>39</v>
      </c>
      <c r="E42" s="8">
        <v>1</v>
      </c>
      <c r="F42" s="3">
        <v>1.4</v>
      </c>
      <c r="G42" s="3">
        <f t="shared" si="1"/>
        <v>1.4</v>
      </c>
    </row>
    <row r="43" spans="1:7" ht="20.100000000000001" customHeight="1">
      <c r="A43" s="5">
        <v>46286</v>
      </c>
      <c r="B43" s="9" t="s">
        <v>42</v>
      </c>
      <c r="C43" t="s">
        <v>38</v>
      </c>
      <c r="D43" s="7" t="s">
        <v>39</v>
      </c>
      <c r="E43" s="8">
        <v>2</v>
      </c>
      <c r="F43" s="3">
        <v>1.72</v>
      </c>
      <c r="G43" s="3">
        <f t="shared" si="1"/>
        <v>3.44</v>
      </c>
    </row>
    <row r="44" spans="1:7" ht="20.100000000000001" customHeight="1">
      <c r="A44" s="5">
        <v>46281</v>
      </c>
      <c r="B44" s="9">
        <v>28402</v>
      </c>
      <c r="C44" t="s">
        <v>43</v>
      </c>
      <c r="D44" s="7" t="s">
        <v>39</v>
      </c>
      <c r="E44" s="8">
        <v>400</v>
      </c>
      <c r="F44" s="3">
        <v>30.96</v>
      </c>
      <c r="G44" s="3">
        <f t="shared" si="1"/>
        <v>12384</v>
      </c>
    </row>
    <row r="45" spans="1:7" ht="20.100000000000001" customHeight="1">
      <c r="A45" s="5">
        <v>46282</v>
      </c>
      <c r="B45" s="9" t="s">
        <v>48</v>
      </c>
      <c r="C45" t="s">
        <v>44</v>
      </c>
      <c r="D45" s="7" t="s">
        <v>39</v>
      </c>
      <c r="E45" s="8">
        <v>80</v>
      </c>
      <c r="F45" s="3">
        <v>50.04</v>
      </c>
      <c r="G45" s="3">
        <f t="shared" si="1"/>
        <v>4003.2</v>
      </c>
    </row>
    <row r="46" spans="1:7" ht="20.100000000000001" customHeight="1">
      <c r="A46" s="5">
        <v>46220</v>
      </c>
      <c r="B46" s="9" t="s">
        <v>49</v>
      </c>
      <c r="C46" t="s">
        <v>45</v>
      </c>
      <c r="D46" s="7" t="s">
        <v>39</v>
      </c>
      <c r="E46" s="8">
        <v>250</v>
      </c>
      <c r="F46" s="3">
        <v>16.68</v>
      </c>
      <c r="G46" s="3">
        <f t="shared" si="1"/>
        <v>4170</v>
      </c>
    </row>
    <row r="47" spans="1:7" ht="20.100000000000001" customHeight="1">
      <c r="A47" s="5">
        <v>46283</v>
      </c>
      <c r="B47" s="9" t="s">
        <v>50</v>
      </c>
      <c r="C47" t="s">
        <v>46</v>
      </c>
      <c r="D47" s="7" t="s">
        <v>39</v>
      </c>
      <c r="E47" s="8">
        <v>750</v>
      </c>
      <c r="F47" s="3">
        <v>6.45</v>
      </c>
      <c r="G47" s="3">
        <f t="shared" si="1"/>
        <v>4837.5</v>
      </c>
    </row>
    <row r="48" spans="1:7" ht="20.100000000000001" customHeight="1">
      <c r="A48" s="5">
        <v>46286</v>
      </c>
      <c r="B48" s="9" t="s">
        <v>51</v>
      </c>
      <c r="C48" t="s">
        <v>45</v>
      </c>
      <c r="D48" s="7" t="s">
        <v>39</v>
      </c>
      <c r="E48" s="8">
        <v>250</v>
      </c>
      <c r="F48" s="3">
        <v>16.68</v>
      </c>
      <c r="G48" s="3">
        <f t="shared" si="1"/>
        <v>4170</v>
      </c>
    </row>
    <row r="49" spans="1:8" ht="20.100000000000001" customHeight="1">
      <c r="A49" s="5">
        <v>46282</v>
      </c>
      <c r="B49" s="9" t="s">
        <v>58</v>
      </c>
      <c r="C49" t="s">
        <v>59</v>
      </c>
      <c r="D49" s="7" t="s">
        <v>39</v>
      </c>
      <c r="E49" s="8">
        <v>60</v>
      </c>
      <c r="F49" s="3">
        <v>15.833399999999999</v>
      </c>
      <c r="G49" s="3">
        <f t="shared" si="1"/>
        <v>950.00399999999991</v>
      </c>
    </row>
    <row r="50" spans="1:8" ht="20.100000000000001" customHeight="1">
      <c r="A50" s="5">
        <v>46282</v>
      </c>
      <c r="B50" s="9" t="s">
        <v>58</v>
      </c>
      <c r="C50" t="s">
        <v>144</v>
      </c>
      <c r="D50" s="7" t="s">
        <v>39</v>
      </c>
      <c r="E50" s="8">
        <v>180</v>
      </c>
      <c r="F50" s="3">
        <v>15.83333</v>
      </c>
      <c r="G50" s="3">
        <f t="shared" si="1"/>
        <v>2849.9994000000002</v>
      </c>
    </row>
    <row r="51" spans="1:8" ht="20.100000000000001" customHeight="1">
      <c r="A51" s="5">
        <v>46283</v>
      </c>
      <c r="B51" s="9" t="s">
        <v>61</v>
      </c>
      <c r="C51" t="s">
        <v>62</v>
      </c>
      <c r="D51" s="7" t="s">
        <v>39</v>
      </c>
      <c r="E51" s="8">
        <v>4</v>
      </c>
      <c r="F51" s="3">
        <v>51.07</v>
      </c>
      <c r="G51" s="3">
        <f t="shared" si="1"/>
        <v>204.28</v>
      </c>
      <c r="H51" t="s">
        <v>174</v>
      </c>
    </row>
    <row r="52" spans="1:8" ht="20.100000000000001" customHeight="1">
      <c r="A52" s="5">
        <v>46283</v>
      </c>
      <c r="B52" s="9" t="s">
        <v>61</v>
      </c>
      <c r="C52" t="s">
        <v>63</v>
      </c>
      <c r="D52" s="7" t="s">
        <v>39</v>
      </c>
      <c r="E52" s="8">
        <v>5</v>
      </c>
      <c r="F52" s="3">
        <v>60.7</v>
      </c>
      <c r="G52" s="3">
        <f t="shared" si="1"/>
        <v>303.5</v>
      </c>
      <c r="H52" t="s">
        <v>176</v>
      </c>
    </row>
    <row r="53" spans="1:8" ht="20.100000000000001" customHeight="1">
      <c r="A53" s="5">
        <v>46283</v>
      </c>
      <c r="B53" s="9" t="s">
        <v>61</v>
      </c>
      <c r="C53" t="s">
        <v>64</v>
      </c>
      <c r="D53" s="7" t="s">
        <v>39</v>
      </c>
      <c r="E53" s="8">
        <v>2</v>
      </c>
      <c r="F53" s="3">
        <v>72.180000000000007</v>
      </c>
      <c r="G53" s="3">
        <f t="shared" si="1"/>
        <v>144.36000000000001</v>
      </c>
      <c r="H53" t="s">
        <v>174</v>
      </c>
    </row>
    <row r="54" spans="1:8" ht="20.100000000000001" customHeight="1">
      <c r="A54" s="5">
        <v>46283</v>
      </c>
      <c r="B54" s="9" t="s">
        <v>61</v>
      </c>
      <c r="C54" t="s">
        <v>65</v>
      </c>
      <c r="D54" s="7" t="s">
        <v>39</v>
      </c>
      <c r="E54" s="8">
        <v>5</v>
      </c>
      <c r="F54" s="3">
        <v>20.37</v>
      </c>
      <c r="G54" s="3">
        <f t="shared" si="1"/>
        <v>101.85000000000001</v>
      </c>
    </row>
    <row r="55" spans="1:8" ht="20.100000000000001" customHeight="1">
      <c r="A55" s="5">
        <v>46283</v>
      </c>
      <c r="B55" s="9" t="s">
        <v>61</v>
      </c>
      <c r="C55" t="s">
        <v>66</v>
      </c>
      <c r="D55" s="7" t="s">
        <v>39</v>
      </c>
      <c r="E55" s="8">
        <v>6</v>
      </c>
      <c r="F55" s="3">
        <v>18.510000000000002</v>
      </c>
      <c r="G55" s="3">
        <f t="shared" si="1"/>
        <v>111.06</v>
      </c>
    </row>
    <row r="56" spans="1:8" ht="20.100000000000001" customHeight="1">
      <c r="A56" s="5">
        <v>46283</v>
      </c>
      <c r="B56" s="9" t="s">
        <v>61</v>
      </c>
      <c r="C56" t="s">
        <v>67</v>
      </c>
      <c r="D56" s="7" t="s">
        <v>39</v>
      </c>
      <c r="E56" s="8">
        <v>5</v>
      </c>
      <c r="F56" s="3">
        <v>52.46</v>
      </c>
      <c r="G56" s="3">
        <f t="shared" si="1"/>
        <v>262.3</v>
      </c>
      <c r="H56" t="s">
        <v>174</v>
      </c>
    </row>
    <row r="57" spans="1:8" ht="20.100000000000001" customHeight="1">
      <c r="A57" s="5">
        <v>46283</v>
      </c>
      <c r="B57" s="9" t="s">
        <v>61</v>
      </c>
      <c r="C57" t="s">
        <v>68</v>
      </c>
      <c r="D57" s="7" t="s">
        <v>39</v>
      </c>
      <c r="E57" s="8">
        <v>4</v>
      </c>
      <c r="F57" s="3">
        <v>90.7</v>
      </c>
      <c r="G57" s="3">
        <f t="shared" si="1"/>
        <v>362.8</v>
      </c>
      <c r="H57" t="s">
        <v>174</v>
      </c>
    </row>
    <row r="58" spans="1:8" ht="20.100000000000001" customHeight="1">
      <c r="A58" s="5">
        <v>46286</v>
      </c>
      <c r="B58" s="9" t="s">
        <v>69</v>
      </c>
      <c r="C58" t="s">
        <v>66</v>
      </c>
      <c r="D58" s="7" t="s">
        <v>39</v>
      </c>
      <c r="E58" s="8">
        <v>14</v>
      </c>
      <c r="F58" s="3">
        <v>18.510000000000002</v>
      </c>
      <c r="G58" s="3">
        <f t="shared" si="1"/>
        <v>259.14000000000004</v>
      </c>
    </row>
    <row r="59" spans="1:8" ht="20.100000000000001" customHeight="1">
      <c r="A59" s="5">
        <v>46283</v>
      </c>
      <c r="B59" s="9" t="s">
        <v>70</v>
      </c>
      <c r="C59" t="s">
        <v>71</v>
      </c>
      <c r="D59" s="7" t="s">
        <v>39</v>
      </c>
      <c r="E59" s="8">
        <v>14</v>
      </c>
      <c r="F59" s="3">
        <v>359</v>
      </c>
      <c r="G59" s="3">
        <f t="shared" si="1"/>
        <v>5026</v>
      </c>
      <c r="H59" t="s">
        <v>174</v>
      </c>
    </row>
    <row r="60" spans="1:8" ht="20.100000000000001" customHeight="1">
      <c r="A60" s="5">
        <v>46283</v>
      </c>
      <c r="B60" s="9" t="s">
        <v>70</v>
      </c>
      <c r="C60" t="s">
        <v>72</v>
      </c>
      <c r="D60" s="7" t="s">
        <v>39</v>
      </c>
      <c r="E60" s="8">
        <v>14</v>
      </c>
      <c r="F60" s="3">
        <v>34.99</v>
      </c>
      <c r="G60" s="3">
        <f t="shared" si="1"/>
        <v>489.86</v>
      </c>
      <c r="H60" t="s">
        <v>174</v>
      </c>
    </row>
    <row r="61" spans="1:8" ht="20.100000000000001" customHeight="1">
      <c r="A61" s="5">
        <v>46283</v>
      </c>
      <c r="B61" s="9" t="s">
        <v>70</v>
      </c>
      <c r="C61" t="s">
        <v>73</v>
      </c>
      <c r="D61" s="7" t="s">
        <v>39</v>
      </c>
      <c r="E61" s="8">
        <v>14</v>
      </c>
      <c r="F61" s="3">
        <v>49.99</v>
      </c>
      <c r="G61" s="3">
        <f t="shared" si="1"/>
        <v>699.86</v>
      </c>
      <c r="H61" t="s">
        <v>174</v>
      </c>
    </row>
    <row r="62" spans="1:8" ht="20.100000000000001" customHeight="1">
      <c r="A62" s="5">
        <v>46283</v>
      </c>
      <c r="B62" s="9" t="s">
        <v>70</v>
      </c>
      <c r="C62" t="s">
        <v>74</v>
      </c>
      <c r="D62" s="7" t="s">
        <v>39</v>
      </c>
      <c r="E62" s="8">
        <v>4</v>
      </c>
      <c r="F62" s="3">
        <v>92</v>
      </c>
      <c r="G62" s="3">
        <f t="shared" si="1"/>
        <v>368</v>
      </c>
      <c r="H62" t="s">
        <v>174</v>
      </c>
    </row>
    <row r="63" spans="1:8" ht="20.100000000000001" customHeight="1">
      <c r="A63" s="5">
        <v>46283</v>
      </c>
      <c r="B63" s="9" t="s">
        <v>70</v>
      </c>
      <c r="C63" t="s">
        <v>75</v>
      </c>
      <c r="D63" s="7" t="s">
        <v>39</v>
      </c>
      <c r="E63" s="8">
        <v>14</v>
      </c>
      <c r="F63" s="3">
        <v>81.900000000000006</v>
      </c>
      <c r="G63" s="3">
        <f t="shared" si="1"/>
        <v>1146.6000000000001</v>
      </c>
      <c r="H63" t="s">
        <v>174</v>
      </c>
    </row>
    <row r="64" spans="1:8" ht="20.100000000000001" customHeight="1">
      <c r="A64" s="5">
        <v>46283</v>
      </c>
      <c r="B64" s="9" t="s">
        <v>70</v>
      </c>
      <c r="C64" t="s">
        <v>76</v>
      </c>
      <c r="D64" s="7" t="s">
        <v>39</v>
      </c>
      <c r="E64" s="8">
        <v>5</v>
      </c>
      <c r="F64" s="3">
        <v>19.989999999999998</v>
      </c>
      <c r="G64" s="3">
        <f t="shared" si="1"/>
        <v>99.949999999999989</v>
      </c>
      <c r="H64" t="s">
        <v>174</v>
      </c>
    </row>
    <row r="65" spans="1:8" ht="20.100000000000001" customHeight="1">
      <c r="A65" s="5">
        <v>46283</v>
      </c>
      <c r="B65" s="9" t="s">
        <v>70</v>
      </c>
      <c r="C65" t="s">
        <v>78</v>
      </c>
      <c r="D65" s="7" t="s">
        <v>39</v>
      </c>
      <c r="E65" s="8">
        <v>6</v>
      </c>
      <c r="F65" s="3">
        <v>46</v>
      </c>
      <c r="G65" s="3">
        <f t="shared" si="1"/>
        <v>276</v>
      </c>
      <c r="H65" t="s">
        <v>174</v>
      </c>
    </row>
    <row r="66" spans="1:8" ht="20.100000000000001" customHeight="1">
      <c r="A66" s="5">
        <v>46283</v>
      </c>
      <c r="B66" s="9" t="s">
        <v>70</v>
      </c>
      <c r="C66" t="s">
        <v>77</v>
      </c>
      <c r="D66" s="7" t="s">
        <v>39</v>
      </c>
      <c r="E66" s="8">
        <v>5</v>
      </c>
      <c r="F66" s="3">
        <v>120</v>
      </c>
      <c r="G66" s="3">
        <f t="shared" si="1"/>
        <v>600</v>
      </c>
      <c r="H66" t="s">
        <v>174</v>
      </c>
    </row>
    <row r="67" spans="1:8" ht="20.100000000000001" customHeight="1">
      <c r="A67" s="5">
        <v>46283</v>
      </c>
      <c r="B67" s="9" t="s">
        <v>70</v>
      </c>
      <c r="C67" t="s">
        <v>79</v>
      </c>
      <c r="D67" s="7" t="s">
        <v>39</v>
      </c>
      <c r="E67" s="8">
        <v>10</v>
      </c>
      <c r="F67" s="3">
        <v>28</v>
      </c>
      <c r="G67" s="3">
        <f t="shared" si="1"/>
        <v>280</v>
      </c>
      <c r="H67" t="s">
        <v>174</v>
      </c>
    </row>
    <row r="68" spans="1:8" ht="20.100000000000001" customHeight="1">
      <c r="A68" s="5">
        <v>46283</v>
      </c>
      <c r="B68" s="9" t="s">
        <v>70</v>
      </c>
      <c r="C68" t="s">
        <v>80</v>
      </c>
      <c r="D68" s="7" t="s">
        <v>39</v>
      </c>
      <c r="E68" s="8">
        <v>5</v>
      </c>
      <c r="F68" s="3">
        <v>22</v>
      </c>
      <c r="G68" s="3">
        <f t="shared" si="1"/>
        <v>110</v>
      </c>
      <c r="H68" t="s">
        <v>174</v>
      </c>
    </row>
    <row r="69" spans="1:8" ht="20.100000000000001" customHeight="1">
      <c r="A69" s="5">
        <v>46283</v>
      </c>
      <c r="B69" s="9" t="s">
        <v>70</v>
      </c>
      <c r="C69" t="s">
        <v>62</v>
      </c>
      <c r="D69" s="7" t="s">
        <v>39</v>
      </c>
      <c r="E69" s="8">
        <v>4</v>
      </c>
      <c r="F69" s="3">
        <v>15</v>
      </c>
      <c r="G69" s="3">
        <f t="shared" si="1"/>
        <v>60</v>
      </c>
      <c r="H69" t="s">
        <v>174</v>
      </c>
    </row>
    <row r="70" spans="1:8" ht="20.100000000000001" customHeight="1">
      <c r="A70" s="5">
        <v>46283</v>
      </c>
      <c r="B70" s="9" t="s">
        <v>70</v>
      </c>
      <c r="C70" t="s">
        <v>148</v>
      </c>
      <c r="D70" s="7" t="s">
        <v>39</v>
      </c>
      <c r="E70" s="8">
        <v>10</v>
      </c>
      <c r="F70" s="3">
        <v>9</v>
      </c>
      <c r="G70" s="3">
        <f t="shared" si="1"/>
        <v>90</v>
      </c>
    </row>
    <row r="71" spans="1:8" ht="20.100000000000001" customHeight="1">
      <c r="A71" s="5">
        <v>46283</v>
      </c>
      <c r="B71" s="9" t="s">
        <v>70</v>
      </c>
      <c r="C71" t="s">
        <v>82</v>
      </c>
      <c r="D71" s="7" t="s">
        <v>39</v>
      </c>
      <c r="E71" s="8">
        <v>2</v>
      </c>
      <c r="F71" s="3">
        <v>410</v>
      </c>
      <c r="G71" s="3">
        <f t="shared" si="1"/>
        <v>820</v>
      </c>
    </row>
    <row r="72" spans="1:8" ht="20.100000000000001" customHeight="1">
      <c r="A72" s="5">
        <v>46283</v>
      </c>
      <c r="B72" s="9" t="s">
        <v>70</v>
      </c>
      <c r="C72" t="s">
        <v>83</v>
      </c>
      <c r="D72" s="7" t="s">
        <v>39</v>
      </c>
      <c r="E72" s="8">
        <v>4</v>
      </c>
      <c r="F72" s="3">
        <v>18</v>
      </c>
      <c r="G72" s="3">
        <f t="shared" si="1"/>
        <v>72</v>
      </c>
      <c r="H72" t="s">
        <v>174</v>
      </c>
    </row>
    <row r="73" spans="1:8" ht="20.100000000000001" customHeight="1">
      <c r="A73" s="5">
        <v>46287</v>
      </c>
      <c r="B73" s="9" t="s">
        <v>87</v>
      </c>
      <c r="C73" t="s">
        <v>21</v>
      </c>
      <c r="D73" s="7" t="s">
        <v>39</v>
      </c>
      <c r="E73" s="8">
        <v>2</v>
      </c>
      <c r="F73" s="3">
        <v>26.35</v>
      </c>
      <c r="G73" s="3">
        <f t="shared" si="1"/>
        <v>52.7</v>
      </c>
    </row>
    <row r="74" spans="1:8" ht="20.100000000000001" customHeight="1">
      <c r="A74" s="5">
        <v>46287</v>
      </c>
      <c r="B74" s="9" t="s">
        <v>87</v>
      </c>
      <c r="C74" t="s">
        <v>88</v>
      </c>
      <c r="D74" s="7" t="s">
        <v>39</v>
      </c>
      <c r="E74" s="8">
        <v>2</v>
      </c>
      <c r="F74" s="3">
        <v>17.96</v>
      </c>
      <c r="G74" s="3">
        <f t="shared" si="1"/>
        <v>35.92</v>
      </c>
    </row>
    <row r="75" spans="1:8" ht="20.100000000000001" customHeight="1">
      <c r="A75" s="5">
        <v>46287</v>
      </c>
      <c r="B75" s="9" t="s">
        <v>87</v>
      </c>
      <c r="C75" t="s">
        <v>89</v>
      </c>
      <c r="D75" s="7" t="s">
        <v>39</v>
      </c>
      <c r="E75" s="8">
        <v>2</v>
      </c>
      <c r="F75" s="3">
        <v>3.07</v>
      </c>
      <c r="G75" s="3">
        <f t="shared" si="1"/>
        <v>6.14</v>
      </c>
    </row>
    <row r="76" spans="1:8" ht="20.100000000000001" customHeight="1">
      <c r="A76" s="5">
        <v>46287</v>
      </c>
      <c r="B76" s="9" t="s">
        <v>87</v>
      </c>
      <c r="C76" t="s">
        <v>90</v>
      </c>
      <c r="D76" s="7" t="s">
        <v>39</v>
      </c>
      <c r="E76" s="8">
        <v>2</v>
      </c>
      <c r="F76" s="3">
        <v>4.47</v>
      </c>
      <c r="G76" s="3">
        <f t="shared" si="1"/>
        <v>8.94</v>
      </c>
    </row>
    <row r="77" spans="1:8" ht="20.100000000000001" customHeight="1">
      <c r="A77" s="5">
        <v>46287</v>
      </c>
      <c r="B77" s="9" t="s">
        <v>87</v>
      </c>
      <c r="C77" t="s">
        <v>25</v>
      </c>
      <c r="D77" s="7" t="s">
        <v>39</v>
      </c>
      <c r="E77" s="8">
        <v>3</v>
      </c>
      <c r="F77" s="3">
        <v>2.0699999999999998</v>
      </c>
      <c r="G77" s="3">
        <f t="shared" ref="G77:G133" si="2">IF(OR(E77="",F77=""),"",E77*F77)</f>
        <v>6.2099999999999991</v>
      </c>
    </row>
    <row r="78" spans="1:8" ht="20.100000000000001" customHeight="1">
      <c r="A78" s="5">
        <v>46287</v>
      </c>
      <c r="B78" s="9" t="s">
        <v>87</v>
      </c>
      <c r="C78" t="s">
        <v>19</v>
      </c>
      <c r="D78" s="7" t="s">
        <v>39</v>
      </c>
      <c r="E78" s="8">
        <v>10</v>
      </c>
      <c r="F78" s="3">
        <v>0.48</v>
      </c>
      <c r="G78" s="3">
        <f t="shared" si="2"/>
        <v>4.8</v>
      </c>
    </row>
    <row r="79" spans="1:8" ht="20.100000000000001" customHeight="1">
      <c r="A79" s="5">
        <v>46287</v>
      </c>
      <c r="B79" s="9" t="s">
        <v>87</v>
      </c>
      <c r="C79" t="s">
        <v>91</v>
      </c>
      <c r="D79" s="7" t="s">
        <v>39</v>
      </c>
      <c r="E79" s="8">
        <v>5</v>
      </c>
      <c r="F79" s="3">
        <v>14.51</v>
      </c>
      <c r="G79" s="3">
        <f t="shared" si="2"/>
        <v>72.55</v>
      </c>
    </row>
    <row r="80" spans="1:8" ht="20.100000000000001" customHeight="1">
      <c r="A80" s="5">
        <v>46287</v>
      </c>
      <c r="B80" s="9" t="s">
        <v>87</v>
      </c>
      <c r="C80" t="s">
        <v>36</v>
      </c>
      <c r="D80" s="7" t="s">
        <v>39</v>
      </c>
      <c r="E80" s="8">
        <v>3</v>
      </c>
      <c r="F80" s="3">
        <v>4.12</v>
      </c>
      <c r="G80" s="3">
        <f t="shared" si="2"/>
        <v>12.36</v>
      </c>
    </row>
    <row r="81" spans="1:7" ht="20.100000000000001" customHeight="1">
      <c r="A81" s="5">
        <v>46287</v>
      </c>
      <c r="B81" s="9" t="s">
        <v>87</v>
      </c>
      <c r="C81" t="s">
        <v>92</v>
      </c>
      <c r="D81" s="7" t="s">
        <v>39</v>
      </c>
      <c r="E81" s="8">
        <v>10</v>
      </c>
      <c r="F81" s="3">
        <v>9</v>
      </c>
      <c r="G81" s="3">
        <f t="shared" si="2"/>
        <v>90</v>
      </c>
    </row>
    <row r="82" spans="1:7" ht="20.100000000000001" customHeight="1">
      <c r="A82" s="5">
        <v>46287</v>
      </c>
      <c r="B82" s="9" t="s">
        <v>87</v>
      </c>
      <c r="C82" t="s">
        <v>93</v>
      </c>
      <c r="D82" s="7" t="s">
        <v>39</v>
      </c>
      <c r="E82" s="8">
        <v>10</v>
      </c>
      <c r="F82" s="3">
        <v>7.5</v>
      </c>
      <c r="G82" s="3">
        <f t="shared" si="2"/>
        <v>75</v>
      </c>
    </row>
    <row r="83" spans="1:7" ht="20.100000000000001" customHeight="1">
      <c r="A83" s="5">
        <v>46287</v>
      </c>
      <c r="B83" s="9" t="s">
        <v>87</v>
      </c>
      <c r="C83" t="s">
        <v>32</v>
      </c>
      <c r="D83" s="7" t="s">
        <v>39</v>
      </c>
      <c r="E83" s="8">
        <v>4</v>
      </c>
      <c r="F83" s="3">
        <v>12</v>
      </c>
      <c r="G83" s="3">
        <f t="shared" si="2"/>
        <v>48</v>
      </c>
    </row>
    <row r="84" spans="1:7" ht="20.100000000000001" customHeight="1">
      <c r="A84" s="5">
        <v>46287</v>
      </c>
      <c r="B84" s="9" t="s">
        <v>87</v>
      </c>
      <c r="C84" t="s">
        <v>94</v>
      </c>
      <c r="D84" s="7" t="s">
        <v>39</v>
      </c>
      <c r="E84" s="8">
        <v>10</v>
      </c>
      <c r="F84" s="3">
        <v>0.38080000000000003</v>
      </c>
      <c r="G84" s="3">
        <f t="shared" si="2"/>
        <v>3.8080000000000003</v>
      </c>
    </row>
    <row r="85" spans="1:7" ht="20.100000000000001" customHeight="1">
      <c r="A85" s="5">
        <v>46287</v>
      </c>
      <c r="B85" s="9" t="s">
        <v>95</v>
      </c>
      <c r="C85" t="s">
        <v>21</v>
      </c>
      <c r="D85" s="7" t="s">
        <v>96</v>
      </c>
      <c r="E85" s="8">
        <v>2</v>
      </c>
      <c r="F85" s="3"/>
      <c r="G85" s="3" t="str">
        <f t="shared" si="2"/>
        <v/>
      </c>
    </row>
    <row r="86" spans="1:7" ht="20.100000000000001" customHeight="1">
      <c r="A86" s="5">
        <v>46287</v>
      </c>
      <c r="B86" s="9" t="s">
        <v>95</v>
      </c>
      <c r="C86" t="s">
        <v>88</v>
      </c>
      <c r="D86" s="7" t="s">
        <v>96</v>
      </c>
      <c r="E86" s="8">
        <v>2</v>
      </c>
      <c r="F86" s="3"/>
      <c r="G86" s="3" t="str">
        <f t="shared" si="2"/>
        <v/>
      </c>
    </row>
    <row r="87" spans="1:7" ht="20.100000000000001" customHeight="1">
      <c r="A87" s="5">
        <v>46287</v>
      </c>
      <c r="B87" s="9" t="s">
        <v>95</v>
      </c>
      <c r="C87" t="s">
        <v>89</v>
      </c>
      <c r="D87" s="7" t="s">
        <v>96</v>
      </c>
      <c r="E87" s="8">
        <v>2</v>
      </c>
      <c r="F87" s="3"/>
      <c r="G87" s="3" t="str">
        <f t="shared" si="2"/>
        <v/>
      </c>
    </row>
    <row r="88" spans="1:7" ht="20.100000000000001" customHeight="1">
      <c r="A88" s="5">
        <v>46287</v>
      </c>
      <c r="B88" s="9" t="s">
        <v>95</v>
      </c>
      <c r="C88" t="s">
        <v>90</v>
      </c>
      <c r="D88" s="7" t="s">
        <v>96</v>
      </c>
      <c r="E88" s="8">
        <v>2</v>
      </c>
      <c r="F88" s="3"/>
      <c r="G88" s="3" t="str">
        <f t="shared" si="2"/>
        <v/>
      </c>
    </row>
    <row r="89" spans="1:7" ht="20.100000000000001" customHeight="1">
      <c r="A89" s="5">
        <v>46287</v>
      </c>
      <c r="B89" s="9" t="s">
        <v>95</v>
      </c>
      <c r="C89" t="s">
        <v>25</v>
      </c>
      <c r="D89" s="7" t="s">
        <v>96</v>
      </c>
      <c r="E89" s="8">
        <v>3</v>
      </c>
      <c r="F89" s="3"/>
      <c r="G89" s="3" t="str">
        <f t="shared" si="2"/>
        <v/>
      </c>
    </row>
    <row r="90" spans="1:7" ht="20.100000000000001" customHeight="1">
      <c r="A90" s="5">
        <v>46287</v>
      </c>
      <c r="B90" s="9" t="s">
        <v>95</v>
      </c>
      <c r="C90" t="s">
        <v>19</v>
      </c>
      <c r="D90" s="7" t="s">
        <v>96</v>
      </c>
      <c r="E90" s="8">
        <v>10</v>
      </c>
      <c r="F90" s="3"/>
      <c r="G90" s="3" t="str">
        <f t="shared" si="2"/>
        <v/>
      </c>
    </row>
    <row r="91" spans="1:7" ht="20.100000000000001" customHeight="1">
      <c r="A91" s="5">
        <v>46287</v>
      </c>
      <c r="B91" s="9" t="s">
        <v>95</v>
      </c>
      <c r="C91" t="s">
        <v>91</v>
      </c>
      <c r="D91" s="7" t="s">
        <v>96</v>
      </c>
      <c r="E91" s="8">
        <v>5</v>
      </c>
      <c r="F91" s="3"/>
      <c r="G91" s="3" t="str">
        <f t="shared" si="2"/>
        <v/>
      </c>
    </row>
    <row r="92" spans="1:7" ht="20.100000000000001" customHeight="1">
      <c r="A92" s="5">
        <v>46287</v>
      </c>
      <c r="B92" s="9" t="s">
        <v>95</v>
      </c>
      <c r="C92" t="s">
        <v>36</v>
      </c>
      <c r="D92" s="7" t="s">
        <v>96</v>
      </c>
      <c r="E92" s="8">
        <v>3</v>
      </c>
      <c r="F92" s="3"/>
      <c r="G92" s="3" t="str">
        <f t="shared" si="2"/>
        <v/>
      </c>
    </row>
    <row r="93" spans="1:7" ht="20.100000000000001" customHeight="1">
      <c r="A93" s="5">
        <v>46287</v>
      </c>
      <c r="B93" s="9" t="s">
        <v>95</v>
      </c>
      <c r="C93" t="s">
        <v>92</v>
      </c>
      <c r="D93" s="7" t="s">
        <v>96</v>
      </c>
      <c r="E93" s="8">
        <v>10</v>
      </c>
      <c r="F93" s="3"/>
      <c r="G93" s="3" t="str">
        <f t="shared" si="2"/>
        <v/>
      </c>
    </row>
    <row r="94" spans="1:7" ht="20.100000000000001" customHeight="1">
      <c r="A94" s="5">
        <v>46287</v>
      </c>
      <c r="B94" s="9" t="s">
        <v>95</v>
      </c>
      <c r="C94" t="s">
        <v>93</v>
      </c>
      <c r="D94" s="7" t="s">
        <v>96</v>
      </c>
      <c r="E94" s="8">
        <v>10</v>
      </c>
      <c r="F94" s="3"/>
      <c r="G94" s="3" t="str">
        <f t="shared" si="2"/>
        <v/>
      </c>
    </row>
    <row r="95" spans="1:7" ht="20.100000000000001" customHeight="1">
      <c r="A95" s="5">
        <v>46287</v>
      </c>
      <c r="B95" s="9" t="s">
        <v>99</v>
      </c>
      <c r="C95" t="s">
        <v>32</v>
      </c>
      <c r="D95" s="7" t="s">
        <v>96</v>
      </c>
      <c r="E95" s="8">
        <v>4</v>
      </c>
      <c r="F95" s="3"/>
      <c r="G95" s="3" t="str">
        <f t="shared" si="2"/>
        <v/>
      </c>
    </row>
    <row r="96" spans="1:7" ht="20.100000000000001" customHeight="1">
      <c r="A96" s="5">
        <v>46287</v>
      </c>
      <c r="B96" s="9" t="s">
        <v>99</v>
      </c>
      <c r="C96" t="s">
        <v>94</v>
      </c>
      <c r="D96" s="7" t="s">
        <v>96</v>
      </c>
      <c r="E96" s="8">
        <v>10</v>
      </c>
      <c r="F96" s="3"/>
      <c r="G96" s="3" t="str">
        <f t="shared" si="2"/>
        <v/>
      </c>
    </row>
    <row r="97" spans="1:7" ht="20.100000000000001" customHeight="1">
      <c r="A97" s="5">
        <v>46287</v>
      </c>
      <c r="B97" s="9" t="s">
        <v>97</v>
      </c>
      <c r="C97" t="s">
        <v>98</v>
      </c>
      <c r="D97" s="7" t="s">
        <v>39</v>
      </c>
      <c r="E97" s="8">
        <v>20</v>
      </c>
      <c r="F97" s="3">
        <v>18.86</v>
      </c>
      <c r="G97" s="3">
        <f t="shared" si="2"/>
        <v>377.2</v>
      </c>
    </row>
    <row r="98" spans="1:7" ht="20.100000000000001" customHeight="1">
      <c r="A98" s="5">
        <v>46287</v>
      </c>
      <c r="B98" s="9" t="s">
        <v>100</v>
      </c>
      <c r="C98" t="s">
        <v>22</v>
      </c>
      <c r="D98" s="7" t="s">
        <v>39</v>
      </c>
      <c r="E98" s="8">
        <v>50</v>
      </c>
      <c r="F98" s="3">
        <v>0.88</v>
      </c>
      <c r="G98" s="3">
        <f t="shared" si="2"/>
        <v>44</v>
      </c>
    </row>
    <row r="99" spans="1:7" ht="20.100000000000001" customHeight="1">
      <c r="A99" s="5">
        <v>46287</v>
      </c>
      <c r="B99" s="9" t="s">
        <v>100</v>
      </c>
      <c r="C99" t="s">
        <v>101</v>
      </c>
      <c r="D99" s="7" t="s">
        <v>39</v>
      </c>
      <c r="E99" s="8">
        <v>12</v>
      </c>
      <c r="F99" s="3">
        <v>0.82</v>
      </c>
      <c r="G99" s="3">
        <f t="shared" si="2"/>
        <v>9.84</v>
      </c>
    </row>
    <row r="100" spans="1:7" ht="20.100000000000001" customHeight="1">
      <c r="A100" s="5">
        <v>46287</v>
      </c>
      <c r="B100" s="9" t="s">
        <v>100</v>
      </c>
      <c r="C100" t="s">
        <v>120</v>
      </c>
      <c r="D100" s="7" t="s">
        <v>39</v>
      </c>
      <c r="E100" s="8">
        <v>20</v>
      </c>
      <c r="F100" s="3">
        <v>6.26</v>
      </c>
      <c r="G100" s="3">
        <f t="shared" si="2"/>
        <v>125.19999999999999</v>
      </c>
    </row>
    <row r="101" spans="1:7" ht="20.100000000000001" customHeight="1">
      <c r="A101" s="5">
        <v>46287</v>
      </c>
      <c r="B101" s="9" t="s">
        <v>100</v>
      </c>
      <c r="C101" t="s">
        <v>102</v>
      </c>
      <c r="D101" s="7" t="s">
        <v>39</v>
      </c>
      <c r="E101" s="8">
        <v>10</v>
      </c>
      <c r="F101" s="3">
        <v>1.19</v>
      </c>
      <c r="G101" s="3">
        <f t="shared" si="2"/>
        <v>11.899999999999999</v>
      </c>
    </row>
    <row r="102" spans="1:7" ht="20.100000000000001" customHeight="1">
      <c r="A102" s="5">
        <v>46287</v>
      </c>
      <c r="B102" s="9" t="s">
        <v>100</v>
      </c>
      <c r="C102" t="s">
        <v>33</v>
      </c>
      <c r="D102" s="7" t="s">
        <v>39</v>
      </c>
      <c r="E102" s="8">
        <v>8</v>
      </c>
      <c r="F102" s="3">
        <v>14.65</v>
      </c>
      <c r="G102" s="3">
        <f t="shared" si="2"/>
        <v>117.2</v>
      </c>
    </row>
    <row r="103" spans="1:7" ht="20.100000000000001" customHeight="1">
      <c r="A103" s="5">
        <v>46287</v>
      </c>
      <c r="B103" s="9" t="s">
        <v>100</v>
      </c>
      <c r="C103" t="s">
        <v>137</v>
      </c>
      <c r="D103" s="7" t="s">
        <v>39</v>
      </c>
      <c r="E103" s="8">
        <v>10</v>
      </c>
      <c r="F103" s="3">
        <v>3</v>
      </c>
      <c r="G103" s="3">
        <f t="shared" si="2"/>
        <v>30</v>
      </c>
    </row>
    <row r="104" spans="1:7" ht="20.100000000000001" customHeight="1">
      <c r="A104" s="5">
        <v>46287</v>
      </c>
      <c r="B104" s="9" t="s">
        <v>100</v>
      </c>
      <c r="C104" t="s">
        <v>21</v>
      </c>
      <c r="D104" s="7" t="s">
        <v>39</v>
      </c>
      <c r="E104" s="8">
        <v>20</v>
      </c>
      <c r="F104" s="3">
        <v>26.35</v>
      </c>
      <c r="G104" s="3">
        <f t="shared" si="2"/>
        <v>527</v>
      </c>
    </row>
    <row r="105" spans="1:7" ht="20.100000000000001" customHeight="1">
      <c r="A105" s="5">
        <v>46287</v>
      </c>
      <c r="B105" s="9" t="s">
        <v>100</v>
      </c>
      <c r="C105" t="s">
        <v>25</v>
      </c>
      <c r="D105" s="7" t="s">
        <v>39</v>
      </c>
      <c r="E105" s="8">
        <v>10</v>
      </c>
      <c r="F105" s="3">
        <v>2.34</v>
      </c>
      <c r="G105" s="3">
        <f t="shared" si="2"/>
        <v>23.4</v>
      </c>
    </row>
    <row r="106" spans="1:7" ht="20.100000000000001" customHeight="1">
      <c r="A106" s="5">
        <v>46287</v>
      </c>
      <c r="B106" s="9" t="s">
        <v>100</v>
      </c>
      <c r="C106" t="s">
        <v>103</v>
      </c>
      <c r="D106" s="7" t="s">
        <v>39</v>
      </c>
      <c r="E106" s="8">
        <v>4</v>
      </c>
      <c r="F106" s="3">
        <v>4.9000000000000004</v>
      </c>
      <c r="G106" s="3">
        <f t="shared" si="2"/>
        <v>19.600000000000001</v>
      </c>
    </row>
    <row r="107" spans="1:7" ht="20.100000000000001" customHeight="1">
      <c r="A107" s="5">
        <v>46287</v>
      </c>
      <c r="B107" s="9" t="s">
        <v>100</v>
      </c>
      <c r="C107" t="s">
        <v>104</v>
      </c>
      <c r="D107" s="7" t="s">
        <v>39</v>
      </c>
      <c r="E107" s="8">
        <v>11</v>
      </c>
      <c r="F107" s="3">
        <v>50.62</v>
      </c>
      <c r="G107" s="3">
        <f t="shared" si="2"/>
        <v>556.81999999999994</v>
      </c>
    </row>
    <row r="108" spans="1:7" ht="20.100000000000001" customHeight="1">
      <c r="A108" s="5">
        <v>46287</v>
      </c>
      <c r="B108" s="9" t="s">
        <v>100</v>
      </c>
      <c r="C108" t="s">
        <v>105</v>
      </c>
      <c r="D108" s="7" t="s">
        <v>39</v>
      </c>
      <c r="E108" s="8">
        <v>5</v>
      </c>
      <c r="F108" s="3">
        <v>31.28</v>
      </c>
      <c r="G108" s="3">
        <f t="shared" si="2"/>
        <v>156.4</v>
      </c>
    </row>
    <row r="109" spans="1:7" ht="20.100000000000001" customHeight="1">
      <c r="A109" s="5">
        <v>46287</v>
      </c>
      <c r="B109" s="9" t="s">
        <v>100</v>
      </c>
      <c r="C109" t="s">
        <v>106</v>
      </c>
      <c r="D109" s="7" t="s">
        <v>39</v>
      </c>
      <c r="E109" s="8">
        <v>5</v>
      </c>
      <c r="F109" s="3">
        <v>6.09</v>
      </c>
      <c r="G109" s="3">
        <f t="shared" si="2"/>
        <v>30.45</v>
      </c>
    </row>
    <row r="110" spans="1:7" ht="20.100000000000001" customHeight="1">
      <c r="A110" s="5">
        <v>46287</v>
      </c>
      <c r="B110" s="9" t="s">
        <v>100</v>
      </c>
      <c r="C110" t="s">
        <v>107</v>
      </c>
      <c r="D110" s="7" t="s">
        <v>39</v>
      </c>
      <c r="E110" s="8">
        <v>10</v>
      </c>
      <c r="F110" s="3">
        <v>4.0999999999999996</v>
      </c>
      <c r="G110" s="3">
        <f t="shared" si="2"/>
        <v>41</v>
      </c>
    </row>
    <row r="111" spans="1:7" ht="20.100000000000001" customHeight="1">
      <c r="A111" s="5">
        <v>46287</v>
      </c>
      <c r="B111" s="9" t="s">
        <v>100</v>
      </c>
      <c r="C111" t="s">
        <v>38</v>
      </c>
      <c r="D111" s="7" t="s">
        <v>39</v>
      </c>
      <c r="E111" s="8">
        <v>10</v>
      </c>
      <c r="F111" s="3">
        <v>1.72</v>
      </c>
      <c r="G111" s="3">
        <f t="shared" si="2"/>
        <v>17.2</v>
      </c>
    </row>
    <row r="112" spans="1:7" ht="20.100000000000001" customHeight="1">
      <c r="A112" s="5">
        <v>46287</v>
      </c>
      <c r="B112" s="9" t="s">
        <v>100</v>
      </c>
      <c r="C112" t="s">
        <v>108</v>
      </c>
      <c r="D112" s="7" t="s">
        <v>39</v>
      </c>
      <c r="E112" s="8">
        <v>12</v>
      </c>
      <c r="F112" s="3">
        <v>45.22</v>
      </c>
      <c r="G112" s="3">
        <f t="shared" si="2"/>
        <v>542.64</v>
      </c>
    </row>
    <row r="113" spans="1:7" ht="20.100000000000001" customHeight="1">
      <c r="A113" s="5">
        <v>46287</v>
      </c>
      <c r="B113" s="9" t="s">
        <v>100</v>
      </c>
      <c r="C113" t="s">
        <v>109</v>
      </c>
      <c r="D113" s="7" t="s">
        <v>39</v>
      </c>
      <c r="E113" s="8">
        <v>10</v>
      </c>
      <c r="F113" s="3">
        <v>6.04</v>
      </c>
      <c r="G113" s="3">
        <f t="shared" si="2"/>
        <v>60.4</v>
      </c>
    </row>
    <row r="114" spans="1:7" ht="20.100000000000001" customHeight="1">
      <c r="A114" s="5">
        <v>46288</v>
      </c>
      <c r="B114" s="9" t="s">
        <v>110</v>
      </c>
      <c r="C114" t="s">
        <v>43</v>
      </c>
      <c r="D114" s="7" t="s">
        <v>39</v>
      </c>
      <c r="E114" s="8">
        <v>240</v>
      </c>
      <c r="F114" s="3">
        <v>20.37</v>
      </c>
      <c r="G114" s="3">
        <f t="shared" si="2"/>
        <v>4888.8</v>
      </c>
    </row>
    <row r="115" spans="1:7" ht="20.100000000000001" customHeight="1">
      <c r="A115" s="5">
        <v>46288</v>
      </c>
      <c r="B115" s="9" t="s">
        <v>111</v>
      </c>
      <c r="C115" t="s">
        <v>59</v>
      </c>
      <c r="D115" s="7" t="s">
        <v>96</v>
      </c>
      <c r="E115" s="8">
        <v>12</v>
      </c>
      <c r="F115" s="3"/>
      <c r="G115" s="3" t="str">
        <f t="shared" si="2"/>
        <v/>
      </c>
    </row>
    <row r="116" spans="1:7" ht="20.100000000000001" customHeight="1">
      <c r="A116" s="5">
        <v>46288</v>
      </c>
      <c r="B116" s="9" t="s">
        <v>111</v>
      </c>
      <c r="C116" t="s">
        <v>144</v>
      </c>
      <c r="D116" s="7" t="s">
        <v>96</v>
      </c>
      <c r="E116" s="8">
        <v>12</v>
      </c>
      <c r="F116" s="3"/>
      <c r="G116" s="3" t="str">
        <f t="shared" si="2"/>
        <v/>
      </c>
    </row>
    <row r="117" spans="1:7" ht="20.100000000000001" customHeight="1">
      <c r="A117" s="5">
        <v>46288</v>
      </c>
      <c r="B117" s="9" t="s">
        <v>111</v>
      </c>
      <c r="C117" t="s">
        <v>65</v>
      </c>
      <c r="D117" s="7" t="s">
        <v>96</v>
      </c>
      <c r="E117" s="8">
        <v>1</v>
      </c>
      <c r="F117" s="3"/>
      <c r="G117" s="3" t="str">
        <f t="shared" si="2"/>
        <v/>
      </c>
    </row>
    <row r="118" spans="1:7" ht="20.100000000000001" customHeight="1">
      <c r="A118" s="5">
        <v>46288</v>
      </c>
      <c r="B118" s="9" t="s">
        <v>111</v>
      </c>
      <c r="C118" t="s">
        <v>66</v>
      </c>
      <c r="D118" s="7" t="s">
        <v>96</v>
      </c>
      <c r="E118" s="8">
        <v>3</v>
      </c>
      <c r="F118" s="3"/>
      <c r="G118" s="3" t="str">
        <f t="shared" si="2"/>
        <v/>
      </c>
    </row>
    <row r="119" spans="1:7" ht="20.100000000000001" customHeight="1">
      <c r="A119" s="5">
        <v>46287</v>
      </c>
      <c r="B119" s="9" t="s">
        <v>112</v>
      </c>
      <c r="C119" t="s">
        <v>12</v>
      </c>
      <c r="D119" s="7" t="s">
        <v>96</v>
      </c>
      <c r="E119" s="8">
        <v>1</v>
      </c>
      <c r="F119" s="3"/>
      <c r="G119" s="3" t="str">
        <f t="shared" si="2"/>
        <v/>
      </c>
    </row>
    <row r="120" spans="1:7" ht="20.100000000000001" customHeight="1">
      <c r="A120" s="5">
        <v>46287</v>
      </c>
      <c r="B120" s="9" t="s">
        <v>113</v>
      </c>
      <c r="C120" t="s">
        <v>144</v>
      </c>
      <c r="D120" s="7" t="s">
        <v>96</v>
      </c>
      <c r="E120" s="8">
        <v>12</v>
      </c>
      <c r="F120" s="3"/>
      <c r="G120" s="3" t="str">
        <f t="shared" si="2"/>
        <v/>
      </c>
    </row>
    <row r="121" spans="1:7" ht="20.100000000000001" customHeight="1">
      <c r="A121" s="5">
        <v>46287</v>
      </c>
      <c r="B121" s="9" t="s">
        <v>113</v>
      </c>
      <c r="C121" t="s">
        <v>59</v>
      </c>
      <c r="D121" s="7" t="s">
        <v>96</v>
      </c>
      <c r="E121" s="8">
        <v>12</v>
      </c>
      <c r="F121" s="3"/>
      <c r="G121" s="3" t="str">
        <f t="shared" si="2"/>
        <v/>
      </c>
    </row>
    <row r="122" spans="1:7" ht="20.100000000000001" customHeight="1">
      <c r="A122" s="5">
        <v>46287</v>
      </c>
      <c r="B122" s="9" t="s">
        <v>114</v>
      </c>
      <c r="C122" t="s">
        <v>66</v>
      </c>
      <c r="D122" s="7" t="s">
        <v>96</v>
      </c>
      <c r="E122" s="8">
        <v>2</v>
      </c>
      <c r="F122" s="3"/>
      <c r="G122" s="3" t="str">
        <f t="shared" si="2"/>
        <v/>
      </c>
    </row>
    <row r="123" spans="1:7" ht="20.100000000000001" customHeight="1">
      <c r="A123" s="5">
        <v>46287</v>
      </c>
      <c r="B123" s="9" t="s">
        <v>114</v>
      </c>
      <c r="C123" t="s">
        <v>65</v>
      </c>
      <c r="D123" s="7" t="s">
        <v>96</v>
      </c>
      <c r="E123" s="8">
        <v>2</v>
      </c>
      <c r="F123" s="3"/>
      <c r="G123" s="3" t="str">
        <f t="shared" si="2"/>
        <v/>
      </c>
    </row>
    <row r="124" spans="1:7" ht="20.100000000000001" customHeight="1">
      <c r="A124" s="5">
        <v>46288</v>
      </c>
      <c r="B124" s="9" t="s">
        <v>115</v>
      </c>
      <c r="C124" t="s">
        <v>144</v>
      </c>
      <c r="D124" s="7" t="s">
        <v>96</v>
      </c>
      <c r="E124" s="8">
        <v>12</v>
      </c>
      <c r="F124" s="3"/>
      <c r="G124" s="3" t="str">
        <f t="shared" si="2"/>
        <v/>
      </c>
    </row>
    <row r="125" spans="1:7" ht="20.100000000000001" customHeight="1">
      <c r="A125" s="5">
        <v>46288</v>
      </c>
      <c r="B125" s="9" t="s">
        <v>116</v>
      </c>
      <c r="C125" t="s">
        <v>43</v>
      </c>
      <c r="D125" s="7" t="s">
        <v>96</v>
      </c>
      <c r="E125" s="8">
        <v>80</v>
      </c>
      <c r="F125" s="3"/>
      <c r="G125" s="3" t="str">
        <f t="shared" si="2"/>
        <v/>
      </c>
    </row>
    <row r="126" spans="1:7" ht="20.100000000000001" customHeight="1">
      <c r="A126" s="5">
        <v>46288</v>
      </c>
      <c r="B126" s="9" t="s">
        <v>116</v>
      </c>
      <c r="C126" t="s">
        <v>46</v>
      </c>
      <c r="D126" s="7" t="s">
        <v>96</v>
      </c>
      <c r="E126" s="8">
        <v>150</v>
      </c>
      <c r="F126" s="3"/>
      <c r="G126" s="3" t="str">
        <f t="shared" si="2"/>
        <v/>
      </c>
    </row>
    <row r="127" spans="1:7" ht="20.100000000000001" customHeight="1">
      <c r="A127" s="5">
        <v>46289</v>
      </c>
      <c r="B127" s="9" t="s">
        <v>117</v>
      </c>
      <c r="C127" t="s">
        <v>105</v>
      </c>
      <c r="D127" s="7" t="s">
        <v>96</v>
      </c>
      <c r="E127" s="8">
        <v>1</v>
      </c>
      <c r="F127" s="3"/>
      <c r="G127" s="3" t="str">
        <f t="shared" si="2"/>
        <v/>
      </c>
    </row>
    <row r="128" spans="1:7" ht="20.100000000000001" customHeight="1">
      <c r="A128" s="5">
        <v>46289</v>
      </c>
      <c r="B128" s="9" t="s">
        <v>117</v>
      </c>
      <c r="C128" t="s">
        <v>38</v>
      </c>
      <c r="D128" s="7" t="s">
        <v>96</v>
      </c>
      <c r="E128" s="8">
        <v>2</v>
      </c>
      <c r="F128" s="3"/>
      <c r="G128" s="3" t="str">
        <f t="shared" si="2"/>
        <v/>
      </c>
    </row>
    <row r="129" spans="1:7" ht="20.100000000000001" customHeight="1">
      <c r="A129" s="5">
        <v>46289</v>
      </c>
      <c r="B129" s="9" t="s">
        <v>117</v>
      </c>
      <c r="C129" t="s">
        <v>109</v>
      </c>
      <c r="D129" s="7" t="s">
        <v>96</v>
      </c>
      <c r="E129" s="8">
        <v>3</v>
      </c>
      <c r="F129" s="3"/>
      <c r="G129" s="3" t="str">
        <f t="shared" si="2"/>
        <v/>
      </c>
    </row>
    <row r="130" spans="1:7" ht="20.100000000000001" customHeight="1">
      <c r="A130" s="5">
        <v>46289</v>
      </c>
      <c r="B130" s="9" t="s">
        <v>117</v>
      </c>
      <c r="C130" t="s">
        <v>104</v>
      </c>
      <c r="D130" s="7" t="s">
        <v>96</v>
      </c>
      <c r="E130" s="8">
        <v>2</v>
      </c>
      <c r="F130" s="3"/>
      <c r="G130" s="3" t="str">
        <f t="shared" si="2"/>
        <v/>
      </c>
    </row>
    <row r="131" spans="1:7" ht="20.100000000000001" customHeight="1">
      <c r="A131" s="5">
        <v>46289</v>
      </c>
      <c r="B131" s="9" t="s">
        <v>117</v>
      </c>
      <c r="C131" t="s">
        <v>33</v>
      </c>
      <c r="D131" s="7" t="s">
        <v>96</v>
      </c>
      <c r="E131" s="8">
        <v>1</v>
      </c>
      <c r="F131" s="3"/>
      <c r="G131" s="3" t="str">
        <f t="shared" si="2"/>
        <v/>
      </c>
    </row>
    <row r="132" spans="1:7" ht="20.100000000000001" customHeight="1">
      <c r="A132" s="5">
        <v>46289</v>
      </c>
      <c r="B132" s="9" t="s">
        <v>117</v>
      </c>
      <c r="C132" t="s">
        <v>137</v>
      </c>
      <c r="D132" s="7" t="s">
        <v>96</v>
      </c>
      <c r="E132" s="8">
        <v>1</v>
      </c>
      <c r="F132" s="3"/>
      <c r="G132" s="3" t="str">
        <f t="shared" si="2"/>
        <v/>
      </c>
    </row>
    <row r="133" spans="1:7" ht="20.100000000000001" customHeight="1">
      <c r="A133" s="5">
        <v>46289</v>
      </c>
      <c r="B133" s="9" t="s">
        <v>118</v>
      </c>
      <c r="C133" t="s">
        <v>44</v>
      </c>
      <c r="D133" s="7" t="s">
        <v>96</v>
      </c>
      <c r="E133" s="8">
        <v>1</v>
      </c>
      <c r="F133" s="3"/>
      <c r="G133" s="3" t="str">
        <f t="shared" si="2"/>
        <v/>
      </c>
    </row>
    <row r="134" spans="1:7" ht="20.100000000000001" customHeight="1">
      <c r="A134" s="5">
        <v>46289</v>
      </c>
      <c r="B134" s="9" t="s">
        <v>119</v>
      </c>
      <c r="C134" t="s">
        <v>120</v>
      </c>
      <c r="D134" s="7" t="s">
        <v>96</v>
      </c>
      <c r="E134" s="8">
        <v>2</v>
      </c>
      <c r="F134" s="3"/>
      <c r="G134" s="3" t="str">
        <f t="shared" ref="G134:G194" si="3">IF(OR(E134="",F134=""),"",E134*F134)</f>
        <v/>
      </c>
    </row>
    <row r="135" spans="1:7" ht="20.100000000000001" customHeight="1">
      <c r="A135" s="5">
        <v>46289</v>
      </c>
      <c r="B135" s="9" t="s">
        <v>119</v>
      </c>
      <c r="C135" t="s">
        <v>104</v>
      </c>
      <c r="D135" s="7" t="s">
        <v>96</v>
      </c>
      <c r="E135" s="8">
        <v>1</v>
      </c>
      <c r="F135" s="3"/>
      <c r="G135" s="3" t="str">
        <f t="shared" si="3"/>
        <v/>
      </c>
    </row>
    <row r="136" spans="1:7" ht="20.100000000000001" customHeight="1">
      <c r="A136" s="5">
        <v>46289</v>
      </c>
      <c r="B136" s="9" t="s">
        <v>119</v>
      </c>
      <c r="C136" t="s">
        <v>102</v>
      </c>
      <c r="D136" s="7" t="s">
        <v>96</v>
      </c>
      <c r="E136" s="8">
        <v>1</v>
      </c>
      <c r="F136" s="3"/>
      <c r="G136" s="3" t="str">
        <f t="shared" si="3"/>
        <v/>
      </c>
    </row>
    <row r="137" spans="1:7" ht="20.100000000000001" customHeight="1">
      <c r="A137" s="5">
        <v>46289</v>
      </c>
      <c r="B137" s="9" t="s">
        <v>119</v>
      </c>
      <c r="C137" t="s">
        <v>107</v>
      </c>
      <c r="D137" s="7" t="s">
        <v>96</v>
      </c>
      <c r="E137" s="8">
        <v>2</v>
      </c>
      <c r="F137" s="3"/>
      <c r="G137" s="3" t="str">
        <f t="shared" si="3"/>
        <v/>
      </c>
    </row>
    <row r="138" spans="1:7" ht="20.100000000000001" customHeight="1">
      <c r="A138" s="5">
        <v>46289</v>
      </c>
      <c r="B138" s="9" t="s">
        <v>119</v>
      </c>
      <c r="C138" t="s">
        <v>22</v>
      </c>
      <c r="D138" s="7" t="s">
        <v>96</v>
      </c>
      <c r="E138" s="8">
        <v>5</v>
      </c>
      <c r="F138" s="3"/>
      <c r="G138" s="3" t="str">
        <f t="shared" si="3"/>
        <v/>
      </c>
    </row>
    <row r="139" spans="1:7" ht="20.100000000000001" customHeight="1">
      <c r="A139" s="5">
        <v>46289</v>
      </c>
      <c r="B139" s="9" t="s">
        <v>119</v>
      </c>
      <c r="C139" t="s">
        <v>21</v>
      </c>
      <c r="D139" s="7" t="s">
        <v>96</v>
      </c>
      <c r="E139" s="8">
        <v>1</v>
      </c>
      <c r="F139" s="3"/>
      <c r="G139" s="3" t="str">
        <f t="shared" si="3"/>
        <v/>
      </c>
    </row>
    <row r="140" spans="1:7" ht="20.100000000000001" customHeight="1">
      <c r="A140" s="5">
        <v>46289</v>
      </c>
      <c r="B140" s="9" t="s">
        <v>119</v>
      </c>
      <c r="C140" t="s">
        <v>105</v>
      </c>
      <c r="D140" s="7" t="s">
        <v>96</v>
      </c>
      <c r="E140" s="8">
        <v>1</v>
      </c>
      <c r="F140" s="3"/>
      <c r="G140" s="3" t="str">
        <f t="shared" si="3"/>
        <v/>
      </c>
    </row>
    <row r="141" spans="1:7" ht="20.100000000000001" customHeight="1">
      <c r="A141" s="5">
        <v>46289</v>
      </c>
      <c r="B141" s="9" t="s">
        <v>121</v>
      </c>
      <c r="C141" t="s">
        <v>33</v>
      </c>
      <c r="D141" s="7" t="s">
        <v>96</v>
      </c>
      <c r="E141" s="8">
        <v>1</v>
      </c>
      <c r="F141" s="3"/>
      <c r="G141" s="3" t="str">
        <f t="shared" si="3"/>
        <v/>
      </c>
    </row>
    <row r="142" spans="1:7" ht="20.100000000000001" customHeight="1">
      <c r="A142" s="5">
        <v>46289</v>
      </c>
      <c r="B142" s="9" t="s">
        <v>121</v>
      </c>
      <c r="C142" t="s">
        <v>137</v>
      </c>
      <c r="D142" s="7" t="s">
        <v>96</v>
      </c>
      <c r="E142" s="8">
        <v>1</v>
      </c>
      <c r="F142" s="3"/>
      <c r="G142" s="3" t="str">
        <f t="shared" si="3"/>
        <v/>
      </c>
    </row>
    <row r="143" spans="1:7" ht="20.100000000000001" customHeight="1">
      <c r="A143" s="5">
        <v>46289</v>
      </c>
      <c r="B143" s="9" t="s">
        <v>121</v>
      </c>
      <c r="C143" t="s">
        <v>25</v>
      </c>
      <c r="D143" s="7" t="s">
        <v>96</v>
      </c>
      <c r="E143" s="8">
        <v>1</v>
      </c>
      <c r="F143" s="3"/>
      <c r="G143" s="3" t="str">
        <f t="shared" si="3"/>
        <v/>
      </c>
    </row>
    <row r="144" spans="1:7" ht="20.100000000000001" customHeight="1">
      <c r="A144" s="5">
        <v>46289</v>
      </c>
      <c r="B144" s="9" t="s">
        <v>121</v>
      </c>
      <c r="C144" t="s">
        <v>106</v>
      </c>
      <c r="D144" s="7" t="s">
        <v>96</v>
      </c>
      <c r="E144" s="8">
        <v>1</v>
      </c>
      <c r="F144" s="3"/>
      <c r="G144" s="3" t="str">
        <f t="shared" si="3"/>
        <v/>
      </c>
    </row>
    <row r="145" spans="1:7" ht="20.100000000000001" customHeight="1">
      <c r="A145" s="5">
        <v>46289</v>
      </c>
      <c r="B145" s="9" t="s">
        <v>121</v>
      </c>
      <c r="C145" t="s">
        <v>102</v>
      </c>
      <c r="D145" s="7" t="s">
        <v>96</v>
      </c>
      <c r="E145" s="8">
        <v>1</v>
      </c>
      <c r="F145" s="3"/>
      <c r="G145" s="3" t="str">
        <f t="shared" si="3"/>
        <v/>
      </c>
    </row>
    <row r="146" spans="1:7" ht="20.100000000000001" customHeight="1">
      <c r="A146" s="5">
        <v>46289</v>
      </c>
      <c r="B146" s="9" t="s">
        <v>121</v>
      </c>
      <c r="C146" t="s">
        <v>101</v>
      </c>
      <c r="D146" s="7" t="s">
        <v>96</v>
      </c>
      <c r="E146" s="8">
        <v>1</v>
      </c>
      <c r="F146" s="3"/>
      <c r="G146" s="3" t="str">
        <f t="shared" si="3"/>
        <v/>
      </c>
    </row>
    <row r="147" spans="1:7" ht="20.100000000000001" customHeight="1">
      <c r="A147" s="5">
        <v>46289</v>
      </c>
      <c r="B147" s="9" t="s">
        <v>121</v>
      </c>
      <c r="C147" t="s">
        <v>38</v>
      </c>
      <c r="D147" s="7" t="s">
        <v>96</v>
      </c>
      <c r="E147" s="8">
        <v>1</v>
      </c>
      <c r="F147" s="3"/>
      <c r="G147" s="3" t="str">
        <f t="shared" si="3"/>
        <v/>
      </c>
    </row>
    <row r="148" spans="1:7" ht="20.100000000000001" customHeight="1">
      <c r="A148" s="5">
        <v>46289</v>
      </c>
      <c r="B148" s="9" t="s">
        <v>121</v>
      </c>
      <c r="C148" t="s">
        <v>122</v>
      </c>
      <c r="D148" s="7" t="s">
        <v>96</v>
      </c>
      <c r="E148" s="8">
        <v>69</v>
      </c>
      <c r="F148" s="3"/>
      <c r="G148" s="3" t="str">
        <f t="shared" si="3"/>
        <v/>
      </c>
    </row>
    <row r="149" spans="1:7" ht="20.100000000000001" customHeight="1">
      <c r="A149" s="5">
        <v>46287</v>
      </c>
      <c r="B149" s="9" t="s">
        <v>123</v>
      </c>
      <c r="C149" t="s">
        <v>124</v>
      </c>
      <c r="D149" s="7" t="s">
        <v>39</v>
      </c>
      <c r="E149" s="8">
        <v>50</v>
      </c>
      <c r="F149" s="3">
        <v>358</v>
      </c>
      <c r="G149" s="3">
        <f t="shared" si="3"/>
        <v>17900</v>
      </c>
    </row>
    <row r="150" spans="1:7" ht="20.100000000000001" customHeight="1">
      <c r="A150" s="5">
        <v>46289</v>
      </c>
      <c r="B150" s="9" t="s">
        <v>125</v>
      </c>
      <c r="C150" t="s">
        <v>17</v>
      </c>
      <c r="D150" s="7" t="s">
        <v>96</v>
      </c>
      <c r="E150" s="8">
        <v>1</v>
      </c>
      <c r="F150" s="3"/>
      <c r="G150" s="3" t="str">
        <f t="shared" si="3"/>
        <v/>
      </c>
    </row>
    <row r="151" spans="1:7" ht="20.100000000000001" customHeight="1">
      <c r="A151" s="5">
        <v>46289</v>
      </c>
      <c r="B151" s="9" t="s">
        <v>125</v>
      </c>
      <c r="C151" t="s">
        <v>156</v>
      </c>
      <c r="D151" s="7" t="s">
        <v>96</v>
      </c>
      <c r="E151" s="8">
        <v>1</v>
      </c>
      <c r="F151" s="3"/>
      <c r="G151" s="3" t="str">
        <f t="shared" si="3"/>
        <v/>
      </c>
    </row>
    <row r="152" spans="1:7" ht="20.100000000000001" customHeight="1">
      <c r="A152" s="5">
        <v>46289</v>
      </c>
      <c r="B152" s="9" t="s">
        <v>126</v>
      </c>
      <c r="C152" t="s">
        <v>88</v>
      </c>
      <c r="D152" s="7" t="s">
        <v>39</v>
      </c>
      <c r="E152" s="8">
        <v>5</v>
      </c>
      <c r="F152" s="3">
        <v>8.9</v>
      </c>
      <c r="G152" s="3">
        <f t="shared" si="3"/>
        <v>44.5</v>
      </c>
    </row>
    <row r="153" spans="1:7" ht="20.100000000000001" customHeight="1">
      <c r="A153" s="5">
        <v>46289</v>
      </c>
      <c r="B153" s="9" t="s">
        <v>126</v>
      </c>
      <c r="C153" t="s">
        <v>165</v>
      </c>
      <c r="D153" s="7" t="s">
        <v>39</v>
      </c>
      <c r="E153" s="8">
        <v>80</v>
      </c>
      <c r="F153" s="3">
        <v>3.9249999999999998</v>
      </c>
      <c r="G153" s="3">
        <f t="shared" si="3"/>
        <v>314</v>
      </c>
    </row>
    <row r="154" spans="1:7" ht="20.100000000000001" customHeight="1">
      <c r="A154" s="5">
        <v>46289</v>
      </c>
      <c r="B154" s="9" t="s">
        <v>126</v>
      </c>
      <c r="C154" t="s">
        <v>127</v>
      </c>
      <c r="D154" s="7" t="s">
        <v>39</v>
      </c>
      <c r="E154" s="8">
        <v>5</v>
      </c>
      <c r="F154" s="3">
        <v>20.3</v>
      </c>
      <c r="G154" s="3">
        <f t="shared" si="3"/>
        <v>101.5</v>
      </c>
    </row>
    <row r="155" spans="1:7" ht="20.100000000000001" customHeight="1">
      <c r="A155" s="5">
        <v>46289</v>
      </c>
      <c r="B155" s="9" t="s">
        <v>126</v>
      </c>
      <c r="C155" t="s">
        <v>12</v>
      </c>
      <c r="D155" s="7" t="s">
        <v>39</v>
      </c>
      <c r="E155" s="8">
        <v>30</v>
      </c>
      <c r="F155" s="3">
        <v>1.35</v>
      </c>
      <c r="G155" s="3">
        <f t="shared" si="3"/>
        <v>40.5</v>
      </c>
    </row>
    <row r="156" spans="1:7" ht="20.100000000000001" customHeight="1">
      <c r="A156" s="5">
        <v>46289</v>
      </c>
      <c r="B156" s="9" t="s">
        <v>126</v>
      </c>
      <c r="C156" t="s">
        <v>11</v>
      </c>
      <c r="D156" s="7" t="s">
        <v>39</v>
      </c>
      <c r="E156" s="8">
        <v>30</v>
      </c>
      <c r="F156" s="3">
        <v>1.42</v>
      </c>
      <c r="G156" s="3">
        <f t="shared" si="3"/>
        <v>42.599999999999994</v>
      </c>
    </row>
    <row r="157" spans="1:7" ht="20.100000000000001" customHeight="1">
      <c r="A157" s="5">
        <v>46289</v>
      </c>
      <c r="B157" s="9" t="s">
        <v>126</v>
      </c>
      <c r="C157" t="s">
        <v>156</v>
      </c>
      <c r="D157" s="7" t="s">
        <v>39</v>
      </c>
      <c r="E157" s="8">
        <v>80</v>
      </c>
      <c r="F157" s="3">
        <v>3.3119000000000001</v>
      </c>
      <c r="G157" s="3">
        <f t="shared" si="3"/>
        <v>264.952</v>
      </c>
    </row>
    <row r="158" spans="1:7" ht="20.100000000000001" customHeight="1">
      <c r="A158" s="5">
        <v>46289</v>
      </c>
      <c r="B158" s="9" t="s">
        <v>126</v>
      </c>
      <c r="C158" t="s">
        <v>128</v>
      </c>
      <c r="D158" s="7" t="s">
        <v>39</v>
      </c>
      <c r="E158" s="8">
        <v>10</v>
      </c>
      <c r="F158" s="3">
        <v>3.08</v>
      </c>
      <c r="G158" s="3">
        <f t="shared" si="3"/>
        <v>30.8</v>
      </c>
    </row>
    <row r="159" spans="1:7" ht="20.100000000000001" customHeight="1">
      <c r="A159" s="5">
        <v>46289</v>
      </c>
      <c r="B159" s="9" t="s">
        <v>126</v>
      </c>
      <c r="C159" t="s">
        <v>143</v>
      </c>
      <c r="D159" s="7" t="s">
        <v>39</v>
      </c>
      <c r="E159" s="8">
        <v>5</v>
      </c>
      <c r="F159" s="3">
        <v>13.66</v>
      </c>
      <c r="G159" s="3">
        <f t="shared" si="3"/>
        <v>68.3</v>
      </c>
    </row>
    <row r="160" spans="1:7" ht="20.100000000000001" customHeight="1">
      <c r="A160" s="5">
        <v>46289</v>
      </c>
      <c r="B160" s="9" t="s">
        <v>126</v>
      </c>
      <c r="C160" t="s">
        <v>129</v>
      </c>
      <c r="D160" s="7" t="s">
        <v>39</v>
      </c>
      <c r="E160" s="8">
        <v>5</v>
      </c>
      <c r="F160" s="3">
        <v>9.65</v>
      </c>
      <c r="G160" s="3">
        <f t="shared" si="3"/>
        <v>48.25</v>
      </c>
    </row>
    <row r="161" spans="1:7" ht="20.100000000000001" customHeight="1">
      <c r="A161" s="5">
        <v>46289</v>
      </c>
      <c r="B161" s="9" t="s">
        <v>126</v>
      </c>
      <c r="C161" t="s">
        <v>130</v>
      </c>
      <c r="D161" s="7" t="s">
        <v>39</v>
      </c>
      <c r="E161" s="8">
        <v>1</v>
      </c>
      <c r="F161" s="3">
        <v>165</v>
      </c>
      <c r="G161" s="3">
        <f t="shared" si="3"/>
        <v>165</v>
      </c>
    </row>
    <row r="162" spans="1:7" ht="20.100000000000001" customHeight="1">
      <c r="A162" s="5">
        <v>46289</v>
      </c>
      <c r="B162" s="9" t="s">
        <v>126</v>
      </c>
      <c r="C162" t="s">
        <v>17</v>
      </c>
      <c r="D162" s="7" t="s">
        <v>39</v>
      </c>
      <c r="E162" s="8">
        <v>50</v>
      </c>
      <c r="F162" s="3">
        <v>4.5999999999999996</v>
      </c>
      <c r="G162" s="3">
        <f t="shared" si="3"/>
        <v>229.99999999999997</v>
      </c>
    </row>
    <row r="163" spans="1:7" ht="20.100000000000001" customHeight="1">
      <c r="A163" s="5">
        <v>46289</v>
      </c>
      <c r="B163" s="9" t="s">
        <v>126</v>
      </c>
      <c r="C163" t="s">
        <v>131</v>
      </c>
      <c r="D163" s="7" t="s">
        <v>39</v>
      </c>
      <c r="E163" s="8">
        <v>10</v>
      </c>
      <c r="F163" s="3">
        <v>13.79</v>
      </c>
      <c r="G163" s="3">
        <f t="shared" si="3"/>
        <v>137.89999999999998</v>
      </c>
    </row>
    <row r="164" spans="1:7" ht="20.100000000000001" customHeight="1">
      <c r="A164" s="5">
        <v>46289</v>
      </c>
      <c r="B164" s="9" t="s">
        <v>126</v>
      </c>
      <c r="C164" t="s">
        <v>18</v>
      </c>
      <c r="D164" s="7" t="s">
        <v>39</v>
      </c>
      <c r="E164" s="8">
        <v>5</v>
      </c>
      <c r="F164" s="3">
        <v>2.67</v>
      </c>
      <c r="G164" s="3">
        <f t="shared" si="3"/>
        <v>13.35</v>
      </c>
    </row>
    <row r="165" spans="1:7" ht="20.100000000000001" customHeight="1">
      <c r="A165" s="5">
        <v>46289</v>
      </c>
      <c r="B165" s="9" t="s">
        <v>132</v>
      </c>
      <c r="C165" t="s">
        <v>12</v>
      </c>
      <c r="D165" s="7" t="s">
        <v>96</v>
      </c>
      <c r="E165" s="8">
        <v>1</v>
      </c>
      <c r="F165" s="3"/>
      <c r="G165" s="3" t="str">
        <f t="shared" si="3"/>
        <v/>
      </c>
    </row>
    <row r="166" spans="1:7" ht="20.100000000000001" customHeight="1">
      <c r="A166" s="5">
        <v>46289</v>
      </c>
      <c r="B166" s="9" t="s">
        <v>132</v>
      </c>
      <c r="C166" t="s">
        <v>165</v>
      </c>
      <c r="D166" s="7" t="s">
        <v>96</v>
      </c>
      <c r="E166" s="8">
        <v>3</v>
      </c>
      <c r="F166" s="3"/>
      <c r="G166" s="3" t="str">
        <f t="shared" si="3"/>
        <v/>
      </c>
    </row>
    <row r="167" spans="1:7" ht="20.100000000000001" customHeight="1">
      <c r="A167" s="5">
        <v>46289</v>
      </c>
      <c r="B167" s="9" t="s">
        <v>132</v>
      </c>
      <c r="C167" t="s">
        <v>156</v>
      </c>
      <c r="D167" s="7" t="s">
        <v>96</v>
      </c>
      <c r="E167" s="8">
        <v>2</v>
      </c>
      <c r="F167" s="3"/>
      <c r="G167" s="3" t="str">
        <f t="shared" si="3"/>
        <v/>
      </c>
    </row>
    <row r="168" spans="1:7" ht="20.100000000000001" customHeight="1">
      <c r="A168" s="5">
        <v>46289</v>
      </c>
      <c r="B168" s="9" t="s">
        <v>133</v>
      </c>
      <c r="C168" t="s">
        <v>17</v>
      </c>
      <c r="D168" s="7" t="s">
        <v>96</v>
      </c>
      <c r="E168" s="8">
        <v>1</v>
      </c>
      <c r="F168" s="3"/>
      <c r="G168" s="3" t="str">
        <f t="shared" si="3"/>
        <v/>
      </c>
    </row>
    <row r="169" spans="1:7" ht="20.100000000000001" customHeight="1">
      <c r="A169" s="5">
        <v>46289</v>
      </c>
      <c r="B169" s="9" t="s">
        <v>133</v>
      </c>
      <c r="C169" t="s">
        <v>165</v>
      </c>
      <c r="D169" s="7" t="s">
        <v>96</v>
      </c>
      <c r="E169" s="8">
        <v>1</v>
      </c>
      <c r="F169" s="3"/>
      <c r="G169" s="3" t="str">
        <f t="shared" si="3"/>
        <v/>
      </c>
    </row>
    <row r="170" spans="1:7" ht="20.100000000000001" customHeight="1">
      <c r="A170" s="5">
        <v>46289</v>
      </c>
      <c r="B170" s="9" t="s">
        <v>133</v>
      </c>
      <c r="C170" t="s">
        <v>88</v>
      </c>
      <c r="D170" s="7" t="s">
        <v>96</v>
      </c>
      <c r="E170" s="8">
        <v>1</v>
      </c>
      <c r="F170" s="3"/>
      <c r="G170" s="3" t="str">
        <f t="shared" si="3"/>
        <v/>
      </c>
    </row>
    <row r="171" spans="1:7" ht="20.100000000000001" customHeight="1">
      <c r="A171" s="5">
        <v>46289</v>
      </c>
      <c r="B171" s="9" t="s">
        <v>134</v>
      </c>
      <c r="C171" t="s">
        <v>33</v>
      </c>
      <c r="D171" s="7" t="s">
        <v>96</v>
      </c>
      <c r="E171" s="8">
        <v>1</v>
      </c>
      <c r="F171" s="3"/>
      <c r="G171" s="3" t="str">
        <f t="shared" si="3"/>
        <v/>
      </c>
    </row>
    <row r="172" spans="1:7" ht="20.100000000000001" customHeight="1">
      <c r="A172" s="5">
        <v>46289</v>
      </c>
      <c r="B172" s="9" t="s">
        <v>134</v>
      </c>
      <c r="C172" t="s">
        <v>108</v>
      </c>
      <c r="D172" s="7" t="s">
        <v>96</v>
      </c>
      <c r="E172" s="8">
        <v>1</v>
      </c>
      <c r="F172" s="3"/>
      <c r="G172" s="3" t="str">
        <f t="shared" si="3"/>
        <v/>
      </c>
    </row>
    <row r="173" spans="1:7" ht="20.100000000000001" customHeight="1">
      <c r="A173" s="5">
        <v>46289</v>
      </c>
      <c r="B173" s="9" t="s">
        <v>135</v>
      </c>
      <c r="C173" t="s">
        <v>17</v>
      </c>
      <c r="D173" s="7" t="s">
        <v>96</v>
      </c>
      <c r="E173" s="8">
        <v>1</v>
      </c>
      <c r="F173" s="3"/>
      <c r="G173" s="3" t="str">
        <f t="shared" si="3"/>
        <v/>
      </c>
    </row>
    <row r="174" spans="1:7" ht="20.100000000000001" customHeight="1">
      <c r="A174" s="5">
        <v>46290</v>
      </c>
      <c r="B174" s="9" t="s">
        <v>136</v>
      </c>
      <c r="C174" t="s">
        <v>138</v>
      </c>
      <c r="D174" s="7" t="s">
        <v>96</v>
      </c>
      <c r="E174" s="8">
        <v>4</v>
      </c>
      <c r="F174" s="3"/>
      <c r="G174" s="3" t="str">
        <f t="shared" si="3"/>
        <v/>
      </c>
    </row>
    <row r="175" spans="1:7" ht="20.100000000000001" customHeight="1">
      <c r="A175" s="5">
        <v>46290</v>
      </c>
      <c r="B175" s="9" t="s">
        <v>136</v>
      </c>
      <c r="C175" t="s">
        <v>139</v>
      </c>
      <c r="D175" s="7" t="s">
        <v>96</v>
      </c>
      <c r="E175" s="8">
        <v>2</v>
      </c>
      <c r="F175" s="3"/>
      <c r="G175" s="3" t="str">
        <f t="shared" si="3"/>
        <v/>
      </c>
    </row>
    <row r="176" spans="1:7" ht="20.100000000000001" customHeight="1">
      <c r="A176" s="5">
        <v>46290</v>
      </c>
      <c r="B176" s="9" t="s">
        <v>136</v>
      </c>
      <c r="C176" t="s">
        <v>46</v>
      </c>
      <c r="D176" s="7" t="s">
        <v>96</v>
      </c>
      <c r="E176" s="8">
        <v>150</v>
      </c>
      <c r="F176" s="3"/>
      <c r="G176" s="3" t="str">
        <f t="shared" si="3"/>
        <v/>
      </c>
    </row>
    <row r="177" spans="1:7" ht="20.100000000000001" customHeight="1">
      <c r="A177" s="5">
        <v>46290</v>
      </c>
      <c r="B177" s="9" t="s">
        <v>136</v>
      </c>
      <c r="C177" t="s">
        <v>22</v>
      </c>
      <c r="D177" s="7" t="s">
        <v>96</v>
      </c>
      <c r="E177" s="8">
        <v>15</v>
      </c>
      <c r="F177" s="3"/>
      <c r="G177" s="3" t="str">
        <f t="shared" si="3"/>
        <v/>
      </c>
    </row>
    <row r="178" spans="1:7" ht="20.100000000000001" customHeight="1">
      <c r="A178" s="5">
        <v>46290</v>
      </c>
      <c r="B178" s="9" t="s">
        <v>136</v>
      </c>
      <c r="C178" t="s">
        <v>44</v>
      </c>
      <c r="D178" s="7" t="s">
        <v>96</v>
      </c>
      <c r="E178" s="8">
        <v>3</v>
      </c>
      <c r="F178" s="3"/>
      <c r="G178" s="3" t="str">
        <f t="shared" si="3"/>
        <v/>
      </c>
    </row>
    <row r="179" spans="1:7" ht="20.100000000000001" customHeight="1">
      <c r="A179" s="5">
        <v>46290</v>
      </c>
      <c r="B179" s="9" t="s">
        <v>136</v>
      </c>
      <c r="C179" t="s">
        <v>35</v>
      </c>
      <c r="D179" s="7" t="s">
        <v>96</v>
      </c>
      <c r="E179" s="8">
        <v>3</v>
      </c>
      <c r="F179" s="3"/>
      <c r="G179" s="3" t="str">
        <f t="shared" si="3"/>
        <v/>
      </c>
    </row>
    <row r="180" spans="1:7" ht="20.100000000000001" customHeight="1">
      <c r="A180" s="5">
        <v>46290</v>
      </c>
      <c r="B180" s="9" t="s">
        <v>136</v>
      </c>
      <c r="C180" t="s">
        <v>25</v>
      </c>
      <c r="D180" s="7" t="s">
        <v>96</v>
      </c>
      <c r="E180" s="8">
        <v>3</v>
      </c>
      <c r="F180" s="3"/>
      <c r="G180" s="3" t="str">
        <f t="shared" si="3"/>
        <v/>
      </c>
    </row>
    <row r="181" spans="1:7" ht="20.100000000000001" customHeight="1">
      <c r="A181" s="5">
        <v>46290</v>
      </c>
      <c r="B181" s="9" t="s">
        <v>136</v>
      </c>
      <c r="C181" t="s">
        <v>24</v>
      </c>
      <c r="D181" s="7" t="s">
        <v>96</v>
      </c>
      <c r="E181" s="8">
        <v>2</v>
      </c>
      <c r="F181" s="3"/>
      <c r="G181" s="3" t="str">
        <f t="shared" si="3"/>
        <v/>
      </c>
    </row>
    <row r="182" spans="1:7" ht="20.100000000000001" customHeight="1">
      <c r="A182" s="5">
        <v>46290</v>
      </c>
      <c r="B182" s="9" t="s">
        <v>136</v>
      </c>
      <c r="C182" t="s">
        <v>17</v>
      </c>
      <c r="D182" s="7" t="s">
        <v>96</v>
      </c>
      <c r="E182" s="8">
        <v>16</v>
      </c>
      <c r="F182" s="3"/>
      <c r="G182" s="3" t="str">
        <f t="shared" si="3"/>
        <v/>
      </c>
    </row>
    <row r="183" spans="1:7" ht="20.100000000000001" customHeight="1">
      <c r="A183" s="5">
        <v>46290</v>
      </c>
      <c r="B183" s="9" t="s">
        <v>136</v>
      </c>
      <c r="C183" t="s">
        <v>15</v>
      </c>
      <c r="D183" s="7" t="s">
        <v>96</v>
      </c>
      <c r="E183" s="8">
        <v>2</v>
      </c>
      <c r="F183" s="3"/>
      <c r="G183" s="3" t="str">
        <f t="shared" si="3"/>
        <v/>
      </c>
    </row>
    <row r="184" spans="1:7" ht="20.100000000000001" customHeight="1">
      <c r="A184" s="5">
        <v>46290</v>
      </c>
      <c r="B184" s="9" t="s">
        <v>136</v>
      </c>
      <c r="C184" t="s">
        <v>19</v>
      </c>
      <c r="D184" s="7" t="s">
        <v>96</v>
      </c>
      <c r="E184" s="8">
        <v>10</v>
      </c>
      <c r="F184" s="3"/>
      <c r="G184" s="3" t="str">
        <f t="shared" si="3"/>
        <v/>
      </c>
    </row>
    <row r="185" spans="1:7" ht="20.100000000000001" customHeight="1">
      <c r="A185" s="5">
        <v>46290</v>
      </c>
      <c r="B185" s="9" t="s">
        <v>136</v>
      </c>
      <c r="C185" t="s">
        <v>16</v>
      </c>
      <c r="D185" s="7" t="s">
        <v>96</v>
      </c>
      <c r="E185" s="8">
        <v>5</v>
      </c>
      <c r="F185" s="3"/>
      <c r="G185" s="3" t="str">
        <f t="shared" si="3"/>
        <v/>
      </c>
    </row>
    <row r="186" spans="1:7" ht="20.100000000000001" customHeight="1">
      <c r="A186" s="5">
        <v>46290</v>
      </c>
      <c r="B186" s="9" t="s">
        <v>136</v>
      </c>
      <c r="C186" t="s">
        <v>37</v>
      </c>
      <c r="D186" s="7" t="s">
        <v>96</v>
      </c>
      <c r="E186" s="8">
        <v>1</v>
      </c>
      <c r="F186" s="3"/>
      <c r="G186" s="3" t="str">
        <f t="shared" si="3"/>
        <v/>
      </c>
    </row>
    <row r="187" spans="1:7" ht="20.100000000000001" customHeight="1">
      <c r="A187" s="5">
        <v>46290</v>
      </c>
      <c r="B187" s="9" t="s">
        <v>136</v>
      </c>
      <c r="C187" t="s">
        <v>38</v>
      </c>
      <c r="D187" s="7" t="s">
        <v>96</v>
      </c>
      <c r="E187" s="8">
        <v>2</v>
      </c>
      <c r="F187" s="3"/>
      <c r="G187" s="3" t="str">
        <f t="shared" si="3"/>
        <v/>
      </c>
    </row>
    <row r="188" spans="1:7" ht="20.100000000000001" customHeight="1">
      <c r="A188" s="5">
        <v>46290</v>
      </c>
      <c r="B188" s="9" t="s">
        <v>136</v>
      </c>
      <c r="C188" t="s">
        <v>32</v>
      </c>
      <c r="D188" s="7" t="s">
        <v>96</v>
      </c>
      <c r="E188" s="8">
        <v>1</v>
      </c>
      <c r="F188" s="3"/>
      <c r="G188" s="3" t="str">
        <f t="shared" si="3"/>
        <v/>
      </c>
    </row>
    <row r="189" spans="1:7" ht="20.100000000000001" customHeight="1">
      <c r="A189" s="5">
        <v>46290</v>
      </c>
      <c r="B189" s="9" t="s">
        <v>136</v>
      </c>
      <c r="C189" t="s">
        <v>27</v>
      </c>
      <c r="D189" s="7" t="s">
        <v>96</v>
      </c>
      <c r="E189" s="8">
        <v>2</v>
      </c>
      <c r="F189" s="3"/>
      <c r="G189" s="3" t="str">
        <f t="shared" si="3"/>
        <v/>
      </c>
    </row>
    <row r="190" spans="1:7" ht="20.100000000000001" customHeight="1">
      <c r="A190" s="5">
        <v>46290</v>
      </c>
      <c r="B190" s="9" t="s">
        <v>136</v>
      </c>
      <c r="C190" t="s">
        <v>26</v>
      </c>
      <c r="D190" s="7" t="s">
        <v>96</v>
      </c>
      <c r="E190" s="8">
        <v>2</v>
      </c>
      <c r="F190" s="3"/>
      <c r="G190" s="3" t="str">
        <f t="shared" si="3"/>
        <v/>
      </c>
    </row>
    <row r="191" spans="1:7" ht="20.100000000000001" customHeight="1">
      <c r="A191" s="5">
        <v>46290</v>
      </c>
      <c r="B191" s="9" t="s">
        <v>136</v>
      </c>
      <c r="C191" t="s">
        <v>33</v>
      </c>
      <c r="D191" s="7" t="s">
        <v>96</v>
      </c>
      <c r="E191" s="8">
        <v>2</v>
      </c>
      <c r="F191" s="3"/>
      <c r="G191" s="3" t="str">
        <f t="shared" si="3"/>
        <v/>
      </c>
    </row>
    <row r="192" spans="1:7" ht="20.100000000000001" customHeight="1">
      <c r="A192" s="5">
        <v>46290</v>
      </c>
      <c r="B192" s="9" t="s">
        <v>136</v>
      </c>
      <c r="C192" t="s">
        <v>137</v>
      </c>
      <c r="D192" s="7" t="s">
        <v>96</v>
      </c>
      <c r="E192" s="8">
        <v>2</v>
      </c>
      <c r="F192" s="3"/>
      <c r="G192" s="3" t="str">
        <f t="shared" si="3"/>
        <v/>
      </c>
    </row>
    <row r="193" spans="1:7" ht="20.100000000000001" customHeight="1">
      <c r="A193" s="5">
        <v>46290</v>
      </c>
      <c r="B193" s="9" t="s">
        <v>136</v>
      </c>
      <c r="C193" t="s">
        <v>28</v>
      </c>
      <c r="D193" s="7" t="s">
        <v>96</v>
      </c>
      <c r="E193" s="8">
        <v>3</v>
      </c>
      <c r="F193" s="3"/>
      <c r="G193" s="3" t="str">
        <f t="shared" si="3"/>
        <v/>
      </c>
    </row>
    <row r="194" spans="1:7" ht="20.100000000000001" customHeight="1">
      <c r="A194" s="5">
        <v>46290</v>
      </c>
      <c r="B194" s="9" t="s">
        <v>136</v>
      </c>
      <c r="C194" t="s">
        <v>43</v>
      </c>
      <c r="D194" s="7" t="s">
        <v>96</v>
      </c>
      <c r="E194" s="8">
        <v>400</v>
      </c>
      <c r="F194" s="3"/>
      <c r="G194" s="3" t="str">
        <f t="shared" si="3"/>
        <v/>
      </c>
    </row>
    <row r="195" spans="1:7" ht="20.100000000000001" customHeight="1">
      <c r="A195" s="5">
        <v>46290</v>
      </c>
      <c r="B195" s="9" t="s">
        <v>136</v>
      </c>
      <c r="C195" t="s">
        <v>18</v>
      </c>
      <c r="D195" s="7" t="s">
        <v>96</v>
      </c>
      <c r="E195" s="8">
        <v>5</v>
      </c>
      <c r="F195" s="3"/>
      <c r="G195" s="3" t="str">
        <f t="shared" ref="G195:G231" si="4">IF(OR(E195="",F195=""),"",E195*F195)</f>
        <v/>
      </c>
    </row>
    <row r="196" spans="1:7" ht="20.100000000000001" customHeight="1">
      <c r="A196" s="5">
        <v>46290</v>
      </c>
      <c r="B196" s="9" t="s">
        <v>136</v>
      </c>
      <c r="C196" t="s">
        <v>21</v>
      </c>
      <c r="D196" s="7" t="s">
        <v>96</v>
      </c>
      <c r="E196" s="8">
        <v>4</v>
      </c>
      <c r="F196" s="3"/>
      <c r="G196" s="3" t="str">
        <f t="shared" si="4"/>
        <v/>
      </c>
    </row>
    <row r="197" spans="1:7" ht="20.100000000000001" customHeight="1">
      <c r="A197" s="5">
        <v>46290</v>
      </c>
      <c r="B197" s="9" t="s">
        <v>136</v>
      </c>
      <c r="C197" t="s">
        <v>23</v>
      </c>
      <c r="D197" s="7" t="s">
        <v>96</v>
      </c>
      <c r="E197" s="8">
        <v>4</v>
      </c>
      <c r="F197" s="3"/>
      <c r="G197" s="3" t="str">
        <f t="shared" si="4"/>
        <v/>
      </c>
    </row>
    <row r="198" spans="1:7" ht="20.100000000000001" customHeight="1">
      <c r="A198" s="5">
        <v>46290</v>
      </c>
      <c r="B198" s="9" t="s">
        <v>136</v>
      </c>
      <c r="C198" t="s">
        <v>165</v>
      </c>
      <c r="D198" s="7" t="s">
        <v>96</v>
      </c>
      <c r="E198" s="8">
        <v>1</v>
      </c>
      <c r="F198" s="3"/>
      <c r="G198" s="3" t="str">
        <f t="shared" si="4"/>
        <v/>
      </c>
    </row>
    <row r="199" spans="1:7" ht="20.100000000000001" customHeight="1">
      <c r="A199" s="5">
        <v>46290</v>
      </c>
      <c r="B199" s="9" t="s">
        <v>136</v>
      </c>
      <c r="C199" t="s">
        <v>20</v>
      </c>
      <c r="D199" s="7" t="s">
        <v>96</v>
      </c>
      <c r="E199" s="8">
        <v>2</v>
      </c>
      <c r="F199" s="3"/>
      <c r="G199" s="3" t="str">
        <f t="shared" si="4"/>
        <v/>
      </c>
    </row>
    <row r="200" spans="1:7" ht="20.100000000000001" customHeight="1">
      <c r="A200" s="5">
        <v>46290</v>
      </c>
      <c r="B200" s="9" t="s">
        <v>136</v>
      </c>
      <c r="C200" t="s">
        <v>11</v>
      </c>
      <c r="D200" s="7" t="s">
        <v>96</v>
      </c>
      <c r="E200" s="8">
        <v>10</v>
      </c>
      <c r="F200" s="3"/>
      <c r="G200" s="3" t="str">
        <f t="shared" si="4"/>
        <v/>
      </c>
    </row>
    <row r="201" spans="1:7" ht="20.100000000000001" customHeight="1">
      <c r="A201" s="5">
        <v>46290</v>
      </c>
      <c r="B201" s="9" t="s">
        <v>136</v>
      </c>
      <c r="C201" t="s">
        <v>12</v>
      </c>
      <c r="D201" s="7" t="s">
        <v>96</v>
      </c>
      <c r="E201" s="8">
        <v>7</v>
      </c>
      <c r="F201" s="3"/>
      <c r="G201" s="3" t="str">
        <f t="shared" si="4"/>
        <v/>
      </c>
    </row>
    <row r="202" spans="1:7" ht="20.100000000000001" customHeight="1">
      <c r="A202" s="5">
        <v>46290</v>
      </c>
      <c r="B202" s="9" t="s">
        <v>136</v>
      </c>
      <c r="C202" t="s">
        <v>59</v>
      </c>
      <c r="D202" s="7" t="s">
        <v>96</v>
      </c>
      <c r="E202" s="8">
        <v>28</v>
      </c>
      <c r="F202" s="3"/>
      <c r="G202" s="3" t="str">
        <f t="shared" si="4"/>
        <v/>
      </c>
    </row>
    <row r="203" spans="1:7" ht="20.100000000000001" customHeight="1">
      <c r="A203" s="5">
        <v>46290</v>
      </c>
      <c r="B203" s="9" t="s">
        <v>136</v>
      </c>
      <c r="C203" t="s">
        <v>144</v>
      </c>
      <c r="D203" s="7" t="s">
        <v>96</v>
      </c>
      <c r="E203" s="8">
        <v>51</v>
      </c>
      <c r="F203" s="3"/>
      <c r="G203" s="3" t="str">
        <f t="shared" si="4"/>
        <v/>
      </c>
    </row>
    <row r="204" spans="1:7" ht="20.100000000000001" customHeight="1">
      <c r="A204" s="5">
        <v>46290</v>
      </c>
      <c r="B204" s="9" t="s">
        <v>136</v>
      </c>
      <c r="C204" t="s">
        <v>65</v>
      </c>
      <c r="D204" s="7" t="s">
        <v>96</v>
      </c>
      <c r="E204" s="8">
        <v>2</v>
      </c>
      <c r="F204" s="3"/>
      <c r="G204" s="3" t="str">
        <f t="shared" si="4"/>
        <v/>
      </c>
    </row>
    <row r="205" spans="1:7" ht="20.100000000000001" customHeight="1">
      <c r="A205" s="5">
        <v>46290</v>
      </c>
      <c r="B205" s="9" t="s">
        <v>136</v>
      </c>
      <c r="C205" t="s">
        <v>66</v>
      </c>
      <c r="D205" s="7" t="s">
        <v>96</v>
      </c>
      <c r="E205" s="8">
        <v>4</v>
      </c>
      <c r="F205" s="3"/>
      <c r="G205" s="3" t="str">
        <f t="shared" si="4"/>
        <v/>
      </c>
    </row>
    <row r="206" spans="1:7" ht="20.100000000000001" customHeight="1">
      <c r="A206" s="5">
        <v>46290</v>
      </c>
      <c r="B206" s="9" t="s">
        <v>136</v>
      </c>
      <c r="C206" t="s">
        <v>148</v>
      </c>
      <c r="D206" s="7" t="s">
        <v>96</v>
      </c>
      <c r="E206" s="8">
        <v>3</v>
      </c>
      <c r="F206" s="3"/>
      <c r="G206" s="3" t="str">
        <f t="shared" si="4"/>
        <v/>
      </c>
    </row>
    <row r="207" spans="1:7" ht="20.100000000000001" customHeight="1">
      <c r="A207" s="5">
        <v>46289</v>
      </c>
      <c r="B207" s="9" t="s">
        <v>141</v>
      </c>
      <c r="C207" t="s">
        <v>43</v>
      </c>
      <c r="D207" s="7" t="s">
        <v>96</v>
      </c>
      <c r="E207" s="8">
        <v>80</v>
      </c>
      <c r="F207" s="3"/>
      <c r="G207" s="3" t="str">
        <f t="shared" si="4"/>
        <v/>
      </c>
    </row>
    <row r="208" spans="1:7" ht="20.100000000000001" customHeight="1">
      <c r="A208" s="5">
        <v>46290</v>
      </c>
      <c r="B208" s="9" t="s">
        <v>142</v>
      </c>
      <c r="C208" t="s">
        <v>17</v>
      </c>
      <c r="D208" s="7" t="s">
        <v>96</v>
      </c>
      <c r="E208" s="8">
        <v>1</v>
      </c>
      <c r="F208" s="3"/>
      <c r="G208" s="3" t="str">
        <f t="shared" si="4"/>
        <v/>
      </c>
    </row>
    <row r="209" spans="1:7" ht="20.100000000000001" customHeight="1">
      <c r="A209" s="5">
        <v>46290</v>
      </c>
      <c r="B209" s="9" t="s">
        <v>142</v>
      </c>
      <c r="C209" t="s">
        <v>15</v>
      </c>
      <c r="D209" s="7" t="s">
        <v>96</v>
      </c>
      <c r="E209" s="8">
        <v>1</v>
      </c>
      <c r="F209" s="3"/>
      <c r="G209" s="3" t="str">
        <f t="shared" si="4"/>
        <v/>
      </c>
    </row>
    <row r="210" spans="1:7" ht="20.100000000000001" customHeight="1">
      <c r="A210" s="5">
        <v>46290</v>
      </c>
      <c r="B210" s="9" t="s">
        <v>142</v>
      </c>
      <c r="C210" t="s">
        <v>143</v>
      </c>
      <c r="D210" s="7" t="s">
        <v>96</v>
      </c>
      <c r="E210" s="8">
        <v>1</v>
      </c>
      <c r="F210" s="3"/>
      <c r="G210" s="3" t="str">
        <f t="shared" si="4"/>
        <v/>
      </c>
    </row>
    <row r="211" spans="1:7" ht="20.100000000000001" customHeight="1">
      <c r="A211" s="5">
        <v>46290</v>
      </c>
      <c r="B211" s="9" t="s">
        <v>142</v>
      </c>
      <c r="C211" t="s">
        <v>11</v>
      </c>
      <c r="D211" s="7" t="s">
        <v>96</v>
      </c>
      <c r="E211" s="8">
        <v>1</v>
      </c>
      <c r="F211" s="3"/>
      <c r="G211" s="3" t="str">
        <f t="shared" si="4"/>
        <v/>
      </c>
    </row>
    <row r="212" spans="1:7" ht="20.100000000000001" customHeight="1">
      <c r="A212" s="5">
        <v>46290</v>
      </c>
      <c r="B212" s="9" t="s">
        <v>145</v>
      </c>
      <c r="C212" t="s">
        <v>45</v>
      </c>
      <c r="D212" s="7" t="s">
        <v>39</v>
      </c>
      <c r="E212" s="8">
        <v>250</v>
      </c>
      <c r="F212" s="3">
        <v>16.68</v>
      </c>
      <c r="G212" s="3">
        <f t="shared" si="4"/>
        <v>4170</v>
      </c>
    </row>
    <row r="213" spans="1:7" ht="20.100000000000001" customHeight="1">
      <c r="A213" s="5">
        <v>46290</v>
      </c>
      <c r="B213" s="9" t="s">
        <v>146</v>
      </c>
      <c r="C213" t="s">
        <v>44</v>
      </c>
      <c r="D213" s="7" t="s">
        <v>96</v>
      </c>
      <c r="E213" s="8">
        <v>2</v>
      </c>
      <c r="F213" s="3"/>
      <c r="G213" s="3" t="str">
        <f t="shared" si="4"/>
        <v/>
      </c>
    </row>
    <row r="214" spans="1:7" ht="20.100000000000001" customHeight="1">
      <c r="A214" s="5">
        <v>46290</v>
      </c>
      <c r="B214" s="9" t="s">
        <v>147</v>
      </c>
      <c r="C214" t="s">
        <v>148</v>
      </c>
      <c r="D214" s="7" t="s">
        <v>96</v>
      </c>
      <c r="E214" s="8">
        <v>1</v>
      </c>
      <c r="F214" s="3"/>
      <c r="G214" s="3" t="str">
        <f t="shared" si="4"/>
        <v/>
      </c>
    </row>
    <row r="215" spans="1:7" ht="20.100000000000001" customHeight="1">
      <c r="A215" s="5">
        <v>46290</v>
      </c>
      <c r="B215" s="9" t="s">
        <v>149</v>
      </c>
      <c r="C215" t="s">
        <v>148</v>
      </c>
      <c r="D215" s="7" t="s">
        <v>96</v>
      </c>
      <c r="E215" s="8">
        <v>3</v>
      </c>
      <c r="F215" s="3"/>
      <c r="G215" s="3" t="str">
        <f t="shared" si="4"/>
        <v/>
      </c>
    </row>
    <row r="216" spans="1:7" ht="20.100000000000001" customHeight="1">
      <c r="A216" s="5">
        <v>46290</v>
      </c>
      <c r="B216" s="9" t="s">
        <v>150</v>
      </c>
      <c r="C216" t="s">
        <v>17</v>
      </c>
      <c r="D216" s="7" t="s">
        <v>96</v>
      </c>
      <c r="E216" s="8">
        <v>1</v>
      </c>
      <c r="F216" s="3"/>
      <c r="G216" s="3" t="str">
        <f t="shared" si="4"/>
        <v/>
      </c>
    </row>
    <row r="217" spans="1:7" ht="20.100000000000001" customHeight="1">
      <c r="A217" s="5">
        <v>46290</v>
      </c>
      <c r="B217" s="9" t="s">
        <v>151</v>
      </c>
      <c r="C217" t="s">
        <v>22</v>
      </c>
      <c r="D217" s="7" t="s">
        <v>96</v>
      </c>
      <c r="E217" s="8">
        <v>1</v>
      </c>
      <c r="F217" s="3"/>
      <c r="G217" s="3" t="str">
        <f t="shared" si="4"/>
        <v/>
      </c>
    </row>
    <row r="218" spans="1:7" ht="20.100000000000001" customHeight="1">
      <c r="A218" s="5">
        <v>46290</v>
      </c>
      <c r="B218" s="9" t="s">
        <v>151</v>
      </c>
      <c r="C218" t="s">
        <v>106</v>
      </c>
      <c r="D218" s="7" t="s">
        <v>96</v>
      </c>
      <c r="E218" s="8">
        <v>1</v>
      </c>
      <c r="F218" s="3"/>
      <c r="G218" s="3" t="str">
        <f t="shared" si="4"/>
        <v/>
      </c>
    </row>
    <row r="219" spans="1:7" ht="20.100000000000001" customHeight="1">
      <c r="A219" s="5">
        <v>46290</v>
      </c>
      <c r="B219" s="9" t="s">
        <v>152</v>
      </c>
      <c r="C219" t="s">
        <v>106</v>
      </c>
      <c r="D219" s="7" t="s">
        <v>96</v>
      </c>
      <c r="E219" s="8">
        <v>1</v>
      </c>
      <c r="F219" s="3"/>
      <c r="G219" s="3" t="str">
        <f t="shared" si="4"/>
        <v/>
      </c>
    </row>
    <row r="220" spans="1:7" ht="20.100000000000001" customHeight="1">
      <c r="A220" s="5">
        <v>46290</v>
      </c>
      <c r="B220" s="9" t="s">
        <v>152</v>
      </c>
      <c r="C220" t="s">
        <v>22</v>
      </c>
      <c r="D220" s="7" t="s">
        <v>96</v>
      </c>
      <c r="E220" s="8">
        <v>1</v>
      </c>
      <c r="F220" s="3"/>
      <c r="G220" s="3" t="str">
        <f t="shared" si="4"/>
        <v/>
      </c>
    </row>
    <row r="221" spans="1:7" ht="20.100000000000001" customHeight="1">
      <c r="A221" s="5">
        <v>46290</v>
      </c>
      <c r="B221" s="9" t="s">
        <v>153</v>
      </c>
      <c r="C221" t="s">
        <v>148</v>
      </c>
      <c r="D221" s="7" t="s">
        <v>96</v>
      </c>
      <c r="E221" s="8">
        <v>1</v>
      </c>
      <c r="F221" s="3"/>
      <c r="G221" s="3" t="str">
        <f t="shared" si="4"/>
        <v/>
      </c>
    </row>
    <row r="222" spans="1:7" ht="20.100000000000001" customHeight="1">
      <c r="A222" s="5">
        <v>46288</v>
      </c>
      <c r="B222" s="9" t="s">
        <v>154</v>
      </c>
      <c r="C222" t="s">
        <v>11</v>
      </c>
      <c r="D222" s="7" t="s">
        <v>96</v>
      </c>
      <c r="E222" s="8">
        <v>5</v>
      </c>
      <c r="F222" s="3"/>
      <c r="G222" s="3" t="str">
        <f t="shared" si="4"/>
        <v/>
      </c>
    </row>
    <row r="223" spans="1:7" ht="20.100000000000001" customHeight="1">
      <c r="A223" s="5">
        <v>46288</v>
      </c>
      <c r="B223" s="9" t="s">
        <v>154</v>
      </c>
      <c r="C223" t="s">
        <v>155</v>
      </c>
      <c r="D223" s="7" t="s">
        <v>96</v>
      </c>
      <c r="E223" s="8">
        <v>4</v>
      </c>
      <c r="F223" s="3"/>
      <c r="G223" s="3" t="str">
        <f t="shared" si="4"/>
        <v/>
      </c>
    </row>
    <row r="224" spans="1:7" ht="20.100000000000001" customHeight="1">
      <c r="A224" s="5">
        <v>46288</v>
      </c>
      <c r="B224" s="9" t="s">
        <v>154</v>
      </c>
      <c r="C224" t="s">
        <v>156</v>
      </c>
      <c r="D224" s="7" t="s">
        <v>96</v>
      </c>
      <c r="E224" s="8">
        <v>4</v>
      </c>
      <c r="F224" s="3"/>
      <c r="G224" s="3" t="str">
        <f t="shared" si="4"/>
        <v/>
      </c>
    </row>
    <row r="225" spans="1:7" ht="20.100000000000001" customHeight="1">
      <c r="A225" s="5">
        <v>46288</v>
      </c>
      <c r="B225" s="9" t="s">
        <v>154</v>
      </c>
      <c r="C225" t="s">
        <v>17</v>
      </c>
      <c r="D225" s="7" t="s">
        <v>96</v>
      </c>
      <c r="E225" s="8">
        <v>2</v>
      </c>
      <c r="F225" s="3"/>
      <c r="G225" s="3" t="str">
        <f t="shared" si="4"/>
        <v/>
      </c>
    </row>
    <row r="226" spans="1:7" ht="20.100000000000001" customHeight="1">
      <c r="A226" s="5">
        <v>46291</v>
      </c>
      <c r="B226" s="9" t="s">
        <v>157</v>
      </c>
      <c r="C226" t="s">
        <v>102</v>
      </c>
      <c r="D226" s="7" t="s">
        <v>96</v>
      </c>
      <c r="E226" s="8">
        <v>1</v>
      </c>
      <c r="F226" s="3"/>
      <c r="G226" s="3" t="str">
        <f t="shared" si="4"/>
        <v/>
      </c>
    </row>
    <row r="227" spans="1:7" ht="20.100000000000001" customHeight="1">
      <c r="A227" s="5">
        <v>46291</v>
      </c>
      <c r="B227" s="9" t="s">
        <v>157</v>
      </c>
      <c r="C227" t="s">
        <v>106</v>
      </c>
      <c r="D227" s="7" t="s">
        <v>96</v>
      </c>
      <c r="E227" s="8">
        <v>1</v>
      </c>
      <c r="F227" s="3"/>
      <c r="G227" s="3" t="str">
        <f t="shared" si="4"/>
        <v/>
      </c>
    </row>
    <row r="228" spans="1:7" ht="20.100000000000001" customHeight="1">
      <c r="A228" s="5">
        <v>46291</v>
      </c>
      <c r="B228" s="9" t="s">
        <v>157</v>
      </c>
      <c r="C228" t="s">
        <v>165</v>
      </c>
      <c r="D228" s="7" t="s">
        <v>96</v>
      </c>
      <c r="E228" s="8">
        <v>1</v>
      </c>
      <c r="F228" s="3"/>
      <c r="G228" s="3" t="str">
        <f t="shared" si="4"/>
        <v/>
      </c>
    </row>
    <row r="229" spans="1:7" ht="20.100000000000001" customHeight="1">
      <c r="A229" s="5">
        <v>46291</v>
      </c>
      <c r="B229" s="9" t="s">
        <v>158</v>
      </c>
      <c r="C229" t="s">
        <v>44</v>
      </c>
      <c r="D229" s="7" t="s">
        <v>96</v>
      </c>
      <c r="E229" s="8">
        <v>2</v>
      </c>
      <c r="F229" s="3"/>
      <c r="G229" s="3" t="str">
        <f t="shared" si="4"/>
        <v/>
      </c>
    </row>
    <row r="230" spans="1:7" ht="20.100000000000001" customHeight="1">
      <c r="A230" s="5">
        <v>46291</v>
      </c>
      <c r="B230" s="9" t="s">
        <v>159</v>
      </c>
      <c r="C230" t="s">
        <v>44</v>
      </c>
      <c r="D230" s="7" t="s">
        <v>96</v>
      </c>
      <c r="E230" s="8">
        <v>1</v>
      </c>
      <c r="F230" s="3"/>
      <c r="G230" s="3" t="str">
        <f t="shared" si="4"/>
        <v/>
      </c>
    </row>
    <row r="231" spans="1:7" ht="20.100000000000001" customHeight="1">
      <c r="A231" s="5">
        <v>46291</v>
      </c>
      <c r="B231" s="9" t="s">
        <v>160</v>
      </c>
      <c r="C231" t="s">
        <v>17</v>
      </c>
      <c r="D231" s="7" t="s">
        <v>96</v>
      </c>
      <c r="E231" s="8">
        <v>1</v>
      </c>
      <c r="F231" s="3"/>
      <c r="G231" s="3" t="str">
        <f t="shared" si="4"/>
        <v/>
      </c>
    </row>
    <row r="232" spans="1:7" ht="20.100000000000001" customHeight="1">
      <c r="A232" s="5">
        <v>46290</v>
      </c>
      <c r="B232" s="9" t="s">
        <v>161</v>
      </c>
      <c r="C232" t="s">
        <v>131</v>
      </c>
      <c r="D232" s="7" t="s">
        <v>96</v>
      </c>
      <c r="E232" s="8">
        <v>1</v>
      </c>
      <c r="F232" s="3"/>
      <c r="G232" s="3" t="str">
        <f t="shared" ref="G232:G281" si="5">IF(OR(E232="",F232=""),"",E232*F232)</f>
        <v/>
      </c>
    </row>
    <row r="233" spans="1:7" ht="20.100000000000001" customHeight="1">
      <c r="A233" s="5">
        <v>46290</v>
      </c>
      <c r="B233" s="9" t="s">
        <v>161</v>
      </c>
      <c r="C233" t="s">
        <v>33</v>
      </c>
      <c r="D233" s="7" t="s">
        <v>96</v>
      </c>
      <c r="E233" s="8">
        <v>1</v>
      </c>
      <c r="F233" s="3"/>
      <c r="G233" s="3" t="str">
        <f t="shared" si="5"/>
        <v/>
      </c>
    </row>
    <row r="234" spans="1:7" ht="20.100000000000001" customHeight="1">
      <c r="A234" s="5">
        <v>46291</v>
      </c>
      <c r="B234" s="9" t="s">
        <v>162</v>
      </c>
      <c r="C234" t="s">
        <v>45</v>
      </c>
      <c r="D234" s="7" t="s">
        <v>96</v>
      </c>
      <c r="E234" s="8">
        <v>50</v>
      </c>
      <c r="F234" s="3"/>
      <c r="G234" s="3" t="str">
        <f t="shared" si="5"/>
        <v/>
      </c>
    </row>
    <row r="235" spans="1:7" ht="20.100000000000001" customHeight="1">
      <c r="A235" s="5">
        <v>46291</v>
      </c>
      <c r="B235" s="9" t="s">
        <v>162</v>
      </c>
      <c r="C235" t="s">
        <v>163</v>
      </c>
      <c r="D235" s="7" t="s">
        <v>96</v>
      </c>
      <c r="E235" s="8">
        <v>50</v>
      </c>
      <c r="F235" s="3"/>
      <c r="G235" s="3" t="str">
        <f t="shared" si="5"/>
        <v/>
      </c>
    </row>
    <row r="236" spans="1:7" ht="20.100000000000001" customHeight="1">
      <c r="A236" s="5">
        <v>46291</v>
      </c>
      <c r="B236" s="9" t="s">
        <v>164</v>
      </c>
      <c r="C236" t="s">
        <v>33</v>
      </c>
      <c r="D236" s="7" t="s">
        <v>96</v>
      </c>
      <c r="E236" s="8">
        <v>1</v>
      </c>
      <c r="F236" s="3"/>
      <c r="G236" s="3" t="str">
        <f t="shared" si="5"/>
        <v/>
      </c>
    </row>
    <row r="237" spans="1:7" ht="20.100000000000001" customHeight="1">
      <c r="A237" s="5">
        <v>46291</v>
      </c>
      <c r="B237" s="9" t="s">
        <v>164</v>
      </c>
      <c r="C237" t="s">
        <v>137</v>
      </c>
      <c r="D237" s="7" t="s">
        <v>96</v>
      </c>
      <c r="E237" s="8">
        <v>1</v>
      </c>
      <c r="F237" s="3"/>
      <c r="G237" s="3" t="str">
        <f t="shared" si="5"/>
        <v/>
      </c>
    </row>
    <row r="238" spans="1:7" ht="20.100000000000001" customHeight="1">
      <c r="A238" s="5">
        <v>46291</v>
      </c>
      <c r="B238" s="9" t="s">
        <v>164</v>
      </c>
      <c r="C238" t="s">
        <v>102</v>
      </c>
      <c r="D238" s="7" t="s">
        <v>96</v>
      </c>
      <c r="E238" s="8">
        <v>1</v>
      </c>
      <c r="F238" s="3"/>
      <c r="G238" s="3" t="str">
        <f t="shared" si="5"/>
        <v/>
      </c>
    </row>
    <row r="239" spans="1:7" ht="20.100000000000001" customHeight="1">
      <c r="A239" s="5">
        <v>46291</v>
      </c>
      <c r="B239" s="9" t="s">
        <v>164</v>
      </c>
      <c r="C239" t="s">
        <v>131</v>
      </c>
      <c r="D239" s="7" t="s">
        <v>96</v>
      </c>
      <c r="E239" s="8">
        <v>1</v>
      </c>
      <c r="F239" s="3"/>
      <c r="G239" s="3" t="str">
        <f t="shared" si="5"/>
        <v/>
      </c>
    </row>
    <row r="240" spans="1:7" ht="20.100000000000001" customHeight="1">
      <c r="A240" s="5">
        <v>46291</v>
      </c>
      <c r="B240" s="9" t="s">
        <v>164</v>
      </c>
      <c r="C240" t="s">
        <v>88</v>
      </c>
      <c r="D240" s="7" t="s">
        <v>96</v>
      </c>
      <c r="E240" s="8">
        <v>1</v>
      </c>
      <c r="F240" s="3"/>
      <c r="G240" s="3" t="str">
        <f t="shared" si="5"/>
        <v/>
      </c>
    </row>
    <row r="241" spans="1:7" ht="20.100000000000001" customHeight="1">
      <c r="A241" s="5">
        <v>46291</v>
      </c>
      <c r="B241" s="9" t="s">
        <v>164</v>
      </c>
      <c r="C241" t="s">
        <v>165</v>
      </c>
      <c r="D241" s="7" t="s">
        <v>96</v>
      </c>
      <c r="E241" s="8">
        <v>1</v>
      </c>
      <c r="F241" s="3"/>
      <c r="G241" s="3" t="str">
        <f t="shared" si="5"/>
        <v/>
      </c>
    </row>
    <row r="242" spans="1:7" ht="20.100000000000001" customHeight="1">
      <c r="A242" s="5">
        <v>46291</v>
      </c>
      <c r="B242" s="9" t="s">
        <v>164</v>
      </c>
      <c r="C242" t="s">
        <v>156</v>
      </c>
      <c r="D242" s="7" t="s">
        <v>96</v>
      </c>
      <c r="E242" s="8">
        <v>1</v>
      </c>
      <c r="F242" s="3"/>
      <c r="G242" s="3" t="str">
        <f t="shared" si="5"/>
        <v/>
      </c>
    </row>
    <row r="243" spans="1:7" ht="20.100000000000001" customHeight="1">
      <c r="A243" s="5">
        <v>46290</v>
      </c>
      <c r="B243" s="9" t="s">
        <v>166</v>
      </c>
      <c r="C243" t="s">
        <v>43</v>
      </c>
      <c r="D243" s="7" t="s">
        <v>96</v>
      </c>
      <c r="E243" s="8">
        <v>80</v>
      </c>
      <c r="F243" s="3"/>
      <c r="G243" s="3" t="str">
        <f t="shared" si="5"/>
        <v/>
      </c>
    </row>
    <row r="244" spans="1:7" ht="20.100000000000001" customHeight="1">
      <c r="A244" s="5">
        <v>46291</v>
      </c>
      <c r="B244" s="9" t="s">
        <v>167</v>
      </c>
      <c r="C244" t="s">
        <v>168</v>
      </c>
      <c r="D244" s="7" t="s">
        <v>39</v>
      </c>
      <c r="E244" s="8">
        <v>48</v>
      </c>
      <c r="F244" s="3">
        <v>7.5</v>
      </c>
      <c r="G244" s="3">
        <f t="shared" si="5"/>
        <v>360</v>
      </c>
    </row>
    <row r="245" spans="1:7" ht="20.100000000000001" customHeight="1">
      <c r="A245" s="5">
        <v>46291</v>
      </c>
      <c r="B245" s="9" t="s">
        <v>167</v>
      </c>
      <c r="C245" t="s">
        <v>65</v>
      </c>
      <c r="D245" s="7" t="s">
        <v>39</v>
      </c>
      <c r="E245" s="8">
        <v>10</v>
      </c>
      <c r="F245" s="3">
        <v>20</v>
      </c>
      <c r="G245" s="3">
        <f t="shared" si="5"/>
        <v>200</v>
      </c>
    </row>
    <row r="246" spans="1:7" ht="20.100000000000001" customHeight="1">
      <c r="A246" s="5">
        <v>46291</v>
      </c>
      <c r="B246" s="9" t="s">
        <v>169</v>
      </c>
      <c r="C246" t="s">
        <v>21</v>
      </c>
      <c r="D246" s="7" t="s">
        <v>96</v>
      </c>
      <c r="E246" s="8">
        <v>1</v>
      </c>
      <c r="F246" s="3"/>
      <c r="G246" s="3" t="str">
        <f t="shared" si="5"/>
        <v/>
      </c>
    </row>
    <row r="247" spans="1:7" ht="20.100000000000001" customHeight="1">
      <c r="A247" s="5">
        <v>46291</v>
      </c>
      <c r="B247" s="9" t="s">
        <v>169</v>
      </c>
      <c r="C247" t="s">
        <v>131</v>
      </c>
      <c r="D247" s="7" t="s">
        <v>96</v>
      </c>
      <c r="E247" s="8">
        <v>1</v>
      </c>
      <c r="F247" s="3"/>
      <c r="G247" s="3" t="str">
        <f t="shared" si="5"/>
        <v/>
      </c>
    </row>
    <row r="248" spans="1:7" ht="20.100000000000001" customHeight="1">
      <c r="A248" s="5">
        <v>46291</v>
      </c>
      <c r="B248" s="9" t="s">
        <v>169</v>
      </c>
      <c r="C248" t="s">
        <v>32</v>
      </c>
      <c r="D248" s="7" t="s">
        <v>96</v>
      </c>
      <c r="E248" s="8">
        <v>1</v>
      </c>
      <c r="F248" s="3"/>
      <c r="G248" s="3" t="str">
        <f t="shared" si="5"/>
        <v/>
      </c>
    </row>
    <row r="249" spans="1:7" ht="20.100000000000001" customHeight="1">
      <c r="A249" s="5">
        <v>46291</v>
      </c>
      <c r="B249" s="9" t="s">
        <v>170</v>
      </c>
      <c r="C249" t="s">
        <v>43</v>
      </c>
      <c r="D249" s="7" t="s">
        <v>96</v>
      </c>
      <c r="E249" s="8">
        <v>80</v>
      </c>
      <c r="F249" s="3"/>
      <c r="G249" s="3" t="str">
        <f t="shared" si="5"/>
        <v/>
      </c>
    </row>
    <row r="250" spans="1:7" ht="20.100000000000001" customHeight="1">
      <c r="A250" s="5">
        <v>46291</v>
      </c>
      <c r="B250" s="9" t="s">
        <v>171</v>
      </c>
      <c r="C250" t="s">
        <v>163</v>
      </c>
      <c r="D250" s="7" t="s">
        <v>96</v>
      </c>
      <c r="E250" s="8">
        <v>100</v>
      </c>
      <c r="F250" s="3"/>
      <c r="G250" s="3" t="str">
        <f t="shared" si="5"/>
        <v/>
      </c>
    </row>
    <row r="251" spans="1:7" ht="20.100000000000001" customHeight="1">
      <c r="A251" s="5">
        <v>46291</v>
      </c>
      <c r="B251" s="9" t="s">
        <v>172</v>
      </c>
      <c r="C251" t="s">
        <v>43</v>
      </c>
      <c r="D251" s="7" t="s">
        <v>39</v>
      </c>
      <c r="E251" s="8">
        <v>240</v>
      </c>
      <c r="F251" s="3">
        <v>20.37</v>
      </c>
      <c r="G251" s="3">
        <f t="shared" si="5"/>
        <v>4888.8</v>
      </c>
    </row>
    <row r="252" spans="1:7" ht="20.100000000000001" customHeight="1">
      <c r="A252" s="5">
        <v>46293</v>
      </c>
      <c r="B252" s="9" t="s">
        <v>177</v>
      </c>
      <c r="C252" t="s">
        <v>17</v>
      </c>
      <c r="D252" s="7" t="s">
        <v>96</v>
      </c>
      <c r="E252" s="8">
        <v>2</v>
      </c>
      <c r="F252" s="3"/>
      <c r="G252" s="3" t="str">
        <f t="shared" si="5"/>
        <v/>
      </c>
    </row>
    <row r="253" spans="1:7" ht="20.100000000000001" customHeight="1">
      <c r="A253" s="5">
        <v>46293</v>
      </c>
      <c r="B253" s="9" t="s">
        <v>177</v>
      </c>
      <c r="C253" t="s">
        <v>12</v>
      </c>
      <c r="D253" s="7" t="s">
        <v>96</v>
      </c>
      <c r="E253" s="8">
        <v>1</v>
      </c>
      <c r="F253" s="3"/>
      <c r="G253" s="3" t="str">
        <f t="shared" si="5"/>
        <v/>
      </c>
    </row>
    <row r="254" spans="1:7" ht="20.100000000000001" customHeight="1">
      <c r="A254" s="5">
        <v>46293</v>
      </c>
      <c r="B254" s="9" t="s">
        <v>178</v>
      </c>
      <c r="C254" t="s">
        <v>44</v>
      </c>
      <c r="D254" s="7" t="s">
        <v>96</v>
      </c>
      <c r="E254" s="8">
        <v>2</v>
      </c>
      <c r="F254" s="3"/>
      <c r="G254" s="3"/>
    </row>
    <row r="255" spans="1:7" ht="20.100000000000001" customHeight="1">
      <c r="A255" s="5">
        <v>46293</v>
      </c>
      <c r="B255" s="9" t="s">
        <v>179</v>
      </c>
      <c r="C255" t="s">
        <v>168</v>
      </c>
      <c r="D255" s="7" t="s">
        <v>96</v>
      </c>
      <c r="E255" s="8">
        <v>2</v>
      </c>
      <c r="F255" s="3"/>
      <c r="G255" s="3" t="str">
        <f t="shared" si="5"/>
        <v/>
      </c>
    </row>
    <row r="256" spans="1:7" ht="20.100000000000001" customHeight="1">
      <c r="A256" s="5">
        <v>46293</v>
      </c>
      <c r="B256" s="9" t="s">
        <v>179</v>
      </c>
      <c r="C256" t="s">
        <v>65</v>
      </c>
      <c r="D256" s="7" t="s">
        <v>96</v>
      </c>
      <c r="E256" s="8">
        <v>1</v>
      </c>
      <c r="F256" s="3"/>
      <c r="G256" s="3" t="str">
        <f t="shared" si="5"/>
        <v/>
      </c>
    </row>
    <row r="257" spans="1:7" ht="20.100000000000001" customHeight="1">
      <c r="A257" s="5">
        <v>46293</v>
      </c>
      <c r="B257" s="9" t="s">
        <v>179</v>
      </c>
      <c r="C257" t="s">
        <v>44</v>
      </c>
      <c r="D257" s="7" t="s">
        <v>96</v>
      </c>
      <c r="E257" s="8">
        <v>2</v>
      </c>
      <c r="F257" s="3"/>
      <c r="G257" s="3" t="str">
        <f t="shared" si="5"/>
        <v/>
      </c>
    </row>
    <row r="258" spans="1:7" ht="20.100000000000001" customHeight="1">
      <c r="A258" s="5">
        <v>46293</v>
      </c>
      <c r="B258" s="9" t="s">
        <v>181</v>
      </c>
      <c r="C258" t="s">
        <v>17</v>
      </c>
      <c r="D258" s="7" t="s">
        <v>96</v>
      </c>
      <c r="E258" s="8">
        <v>1</v>
      </c>
      <c r="F258" s="3"/>
      <c r="G258" s="3" t="str">
        <f t="shared" si="5"/>
        <v/>
      </c>
    </row>
    <row r="259" spans="1:7" ht="20.100000000000001" customHeight="1">
      <c r="A259" s="5">
        <v>46293</v>
      </c>
      <c r="B259" s="9" t="s">
        <v>181</v>
      </c>
      <c r="C259" t="s">
        <v>156</v>
      </c>
      <c r="D259" s="7" t="s">
        <v>96</v>
      </c>
      <c r="E259" s="8">
        <v>1</v>
      </c>
      <c r="F259" s="3"/>
      <c r="G259" s="3" t="str">
        <f t="shared" si="5"/>
        <v/>
      </c>
    </row>
    <row r="260" spans="1:7" ht="20.100000000000001" customHeight="1">
      <c r="A260" s="5">
        <v>46293</v>
      </c>
      <c r="B260" s="9" t="s">
        <v>181</v>
      </c>
      <c r="C260" t="s">
        <v>11</v>
      </c>
      <c r="D260" s="7" t="s">
        <v>96</v>
      </c>
      <c r="E260" s="8">
        <v>1</v>
      </c>
      <c r="F260" s="3"/>
      <c r="G260" s="3" t="str">
        <f t="shared" si="5"/>
        <v/>
      </c>
    </row>
    <row r="261" spans="1:7" ht="20.100000000000001" customHeight="1">
      <c r="A261" s="5">
        <v>46293</v>
      </c>
      <c r="B261" s="9" t="s">
        <v>181</v>
      </c>
      <c r="C261" t="s">
        <v>12</v>
      </c>
      <c r="D261" s="7" t="s">
        <v>96</v>
      </c>
      <c r="E261" s="8">
        <v>1</v>
      </c>
      <c r="F261" s="3"/>
      <c r="G261" s="3" t="str">
        <f t="shared" si="5"/>
        <v/>
      </c>
    </row>
    <row r="262" spans="1:7" ht="20.100000000000001" customHeight="1">
      <c r="A262" s="5">
        <v>46293</v>
      </c>
      <c r="B262" s="9" t="s">
        <v>180</v>
      </c>
      <c r="C262" s="11" t="s">
        <v>163</v>
      </c>
      <c r="D262" s="7" t="s">
        <v>96</v>
      </c>
      <c r="E262" s="8">
        <v>200</v>
      </c>
      <c r="F262" s="3"/>
      <c r="G262" s="3" t="str">
        <f t="shared" si="5"/>
        <v/>
      </c>
    </row>
    <row r="263" spans="1:7" ht="20.100000000000001" customHeight="1">
      <c r="A263" s="5">
        <v>46289</v>
      </c>
      <c r="B263" s="9" t="s">
        <v>182</v>
      </c>
      <c r="C263" t="s">
        <v>28</v>
      </c>
      <c r="D263" s="7" t="s">
        <v>39</v>
      </c>
      <c r="E263" s="8">
        <v>2</v>
      </c>
      <c r="F263" s="3">
        <v>10.46</v>
      </c>
      <c r="G263" s="3">
        <f t="shared" si="5"/>
        <v>20.92</v>
      </c>
    </row>
    <row r="264" spans="1:7" ht="20.100000000000001" customHeight="1">
      <c r="A264" s="5">
        <v>46289</v>
      </c>
      <c r="B264" s="9" t="s">
        <v>182</v>
      </c>
      <c r="C264" t="s">
        <v>183</v>
      </c>
      <c r="D264" s="7" t="s">
        <v>39</v>
      </c>
      <c r="E264" s="8">
        <v>2</v>
      </c>
      <c r="F264" s="3">
        <v>12.8</v>
      </c>
      <c r="G264" s="3">
        <f t="shared" si="5"/>
        <v>25.6</v>
      </c>
    </row>
    <row r="265" spans="1:7" ht="20.100000000000001" customHeight="1">
      <c r="A265" s="5">
        <v>46289</v>
      </c>
      <c r="B265" s="9" t="s">
        <v>182</v>
      </c>
      <c r="C265" t="s">
        <v>89</v>
      </c>
      <c r="D265" s="7" t="s">
        <v>39</v>
      </c>
      <c r="E265" s="8">
        <v>2</v>
      </c>
      <c r="F265" s="3">
        <v>2.0499999999999998</v>
      </c>
      <c r="G265" s="3">
        <f t="shared" si="5"/>
        <v>4.0999999999999996</v>
      </c>
    </row>
    <row r="266" spans="1:7" ht="20.100000000000001" customHeight="1">
      <c r="A266" s="5">
        <v>46290</v>
      </c>
      <c r="B266" s="9" t="s">
        <v>184</v>
      </c>
      <c r="C266" t="s">
        <v>43</v>
      </c>
      <c r="D266" s="7" t="s">
        <v>39</v>
      </c>
      <c r="E266" s="8">
        <v>240</v>
      </c>
      <c r="F266" s="3">
        <v>20.37</v>
      </c>
      <c r="G266" s="3">
        <f t="shared" si="5"/>
        <v>4888.8</v>
      </c>
    </row>
    <row r="267" spans="1:7" ht="20.100000000000001" customHeight="1">
      <c r="A267" s="5">
        <v>46290</v>
      </c>
      <c r="B267" s="9" t="s">
        <v>145</v>
      </c>
      <c r="C267" s="11" t="s">
        <v>163</v>
      </c>
      <c r="D267" s="7" t="s">
        <v>39</v>
      </c>
      <c r="E267" s="8">
        <v>250</v>
      </c>
      <c r="F267" s="3">
        <v>16.68</v>
      </c>
      <c r="G267" s="3">
        <f t="shared" si="5"/>
        <v>4170</v>
      </c>
    </row>
    <row r="268" spans="1:7" ht="20.100000000000001" customHeight="1">
      <c r="A268" s="5">
        <v>46291</v>
      </c>
      <c r="B268" s="9" t="s">
        <v>185</v>
      </c>
      <c r="C268" t="s">
        <v>43</v>
      </c>
      <c r="D268" s="7" t="s">
        <v>39</v>
      </c>
      <c r="E268" s="8">
        <v>240</v>
      </c>
      <c r="F268" s="3">
        <v>20.37</v>
      </c>
      <c r="G268" s="3">
        <f t="shared" si="5"/>
        <v>4888.8</v>
      </c>
    </row>
    <row r="269" spans="1:7" ht="20.100000000000001" customHeight="1">
      <c r="A269" s="5">
        <v>46289</v>
      </c>
      <c r="B269" s="9" t="s">
        <v>186</v>
      </c>
      <c r="C269" t="s">
        <v>138</v>
      </c>
      <c r="D269" s="7" t="s">
        <v>39</v>
      </c>
      <c r="E269" s="8">
        <v>4</v>
      </c>
      <c r="F269" s="3">
        <v>7.5</v>
      </c>
      <c r="G269" s="3">
        <f>IF(OR(E269="",F269=""),"",E269*F269)</f>
        <v>30</v>
      </c>
    </row>
    <row r="270" spans="1:7" ht="20.100000000000001" customHeight="1">
      <c r="A270" s="5">
        <v>46289</v>
      </c>
      <c r="B270" s="9" t="s">
        <v>187</v>
      </c>
      <c r="C270" t="s">
        <v>43</v>
      </c>
      <c r="D270" s="7" t="s">
        <v>39</v>
      </c>
      <c r="E270" s="8">
        <v>240</v>
      </c>
      <c r="F270" s="3">
        <v>20.37</v>
      </c>
      <c r="G270" s="3">
        <f t="shared" si="5"/>
        <v>4888.8</v>
      </c>
    </row>
    <row r="271" spans="1:7" ht="20.100000000000001" customHeight="1">
      <c r="A271" s="5">
        <v>46293</v>
      </c>
      <c r="B271" s="9" t="s">
        <v>188</v>
      </c>
      <c r="C271" t="s">
        <v>189</v>
      </c>
      <c r="D271" s="7" t="s">
        <v>39</v>
      </c>
      <c r="E271" s="8">
        <v>20</v>
      </c>
      <c r="F271" s="3">
        <v>350</v>
      </c>
      <c r="G271" s="3">
        <f t="shared" si="5"/>
        <v>7000</v>
      </c>
    </row>
    <row r="272" spans="1:7" ht="20.100000000000001" customHeight="1">
      <c r="A272" s="5">
        <v>46291</v>
      </c>
      <c r="B272" s="9" t="s">
        <v>172</v>
      </c>
      <c r="C272" t="s">
        <v>43</v>
      </c>
      <c r="D272" s="7" t="s">
        <v>39</v>
      </c>
      <c r="E272" s="8">
        <v>240</v>
      </c>
      <c r="F272" s="3">
        <v>20.37</v>
      </c>
      <c r="G272" s="3">
        <f t="shared" si="5"/>
        <v>4888.8</v>
      </c>
    </row>
    <row r="273" spans="1:7" ht="20.100000000000001" customHeight="1">
      <c r="A273" s="5">
        <v>46291</v>
      </c>
      <c r="B273" s="9" t="s">
        <v>190</v>
      </c>
      <c r="C273" t="s">
        <v>32</v>
      </c>
      <c r="D273" s="7" t="s">
        <v>39</v>
      </c>
      <c r="E273" s="8">
        <v>5</v>
      </c>
      <c r="F273" s="3">
        <v>12</v>
      </c>
      <c r="G273" s="3">
        <f t="shared" si="5"/>
        <v>60</v>
      </c>
    </row>
    <row r="274" spans="1:7" ht="20.100000000000001" customHeight="1">
      <c r="A274" s="5">
        <v>46291</v>
      </c>
      <c r="B274" s="9" t="s">
        <v>190</v>
      </c>
      <c r="C274" t="s">
        <v>191</v>
      </c>
      <c r="D274" s="7" t="s">
        <v>39</v>
      </c>
      <c r="E274" s="8">
        <v>5</v>
      </c>
      <c r="F274" s="3">
        <v>28</v>
      </c>
      <c r="G274" s="3">
        <f t="shared" si="5"/>
        <v>140</v>
      </c>
    </row>
    <row r="275" spans="1:7" ht="20.100000000000001" customHeight="1">
      <c r="A275" s="5">
        <v>46290</v>
      </c>
      <c r="B275" s="9" t="s">
        <v>192</v>
      </c>
      <c r="C275" t="s">
        <v>193</v>
      </c>
      <c r="D275" s="7" t="s">
        <v>39</v>
      </c>
      <c r="E275" s="8">
        <v>1</v>
      </c>
      <c r="F275" s="3">
        <v>480</v>
      </c>
      <c r="G275" s="3">
        <f t="shared" si="5"/>
        <v>480</v>
      </c>
    </row>
    <row r="276" spans="1:7" ht="20.100000000000001" customHeight="1">
      <c r="A276" s="5">
        <v>46290</v>
      </c>
      <c r="B276" s="9" t="s">
        <v>192</v>
      </c>
      <c r="C276" t="s">
        <v>194</v>
      </c>
      <c r="D276" s="7" t="s">
        <v>39</v>
      </c>
      <c r="E276" s="8">
        <v>1</v>
      </c>
      <c r="F276" s="3">
        <v>650</v>
      </c>
      <c r="G276" s="3">
        <f t="shared" si="5"/>
        <v>650</v>
      </c>
    </row>
    <row r="277" spans="1:7" ht="20.100000000000001" customHeight="1">
      <c r="A277" s="5">
        <v>46290</v>
      </c>
      <c r="B277" s="9" t="s">
        <v>192</v>
      </c>
      <c r="C277" t="s">
        <v>195</v>
      </c>
      <c r="D277" s="7" t="s">
        <v>39</v>
      </c>
      <c r="E277" s="8">
        <v>1</v>
      </c>
      <c r="F277" s="3">
        <v>490</v>
      </c>
      <c r="G277" s="3">
        <f t="shared" si="5"/>
        <v>490</v>
      </c>
    </row>
    <row r="278" spans="1:7" ht="20.100000000000001" customHeight="1">
      <c r="A278" s="5">
        <v>46290</v>
      </c>
      <c r="B278" s="9" t="s">
        <v>192</v>
      </c>
      <c r="C278" t="s">
        <v>196</v>
      </c>
      <c r="D278" s="7" t="s">
        <v>39</v>
      </c>
      <c r="E278" s="8">
        <v>4</v>
      </c>
      <c r="F278" s="3">
        <v>9.8000000000000007</v>
      </c>
      <c r="G278" s="3">
        <f t="shared" si="5"/>
        <v>39.200000000000003</v>
      </c>
    </row>
    <row r="279" spans="1:7" ht="20.100000000000001" customHeight="1">
      <c r="A279" s="5"/>
      <c r="B279" s="9"/>
      <c r="E279" s="8"/>
      <c r="F279" s="3"/>
      <c r="G279" s="3" t="str">
        <f t="shared" si="5"/>
        <v/>
      </c>
    </row>
    <row r="280" spans="1:7" ht="20.100000000000001" customHeight="1">
      <c r="A280" s="5"/>
      <c r="B280" s="9"/>
      <c r="E280" s="8"/>
      <c r="F280" s="3"/>
      <c r="G280" s="3" t="str">
        <f t="shared" si="5"/>
        <v/>
      </c>
    </row>
    <row r="281" spans="1:7" ht="20.100000000000001" customHeight="1">
      <c r="A281" s="5"/>
      <c r="B281" s="9"/>
      <c r="E281" s="8"/>
      <c r="F281" s="3"/>
      <c r="G281" s="3" t="str">
        <f t="shared" si="5"/>
        <v/>
      </c>
    </row>
    <row r="282" spans="1:7" ht="20.100000000000001" customHeight="1">
      <c r="A282" s="5"/>
      <c r="B282" s="9"/>
      <c r="E282" s="8"/>
      <c r="F282" s="3"/>
      <c r="G282" s="3" t="str">
        <f t="shared" ref="G282:G345" si="6">IF(OR(E282="",F282=""),"",E282*F282)</f>
        <v/>
      </c>
    </row>
    <row r="283" spans="1:7" ht="20.100000000000001" customHeight="1">
      <c r="A283" s="5"/>
      <c r="B283" s="9"/>
      <c r="E283" s="8"/>
      <c r="F283" s="3"/>
      <c r="G283" s="3" t="str">
        <f t="shared" si="6"/>
        <v/>
      </c>
    </row>
    <row r="284" spans="1:7" ht="20.100000000000001" customHeight="1">
      <c r="A284" s="5"/>
      <c r="B284" s="9"/>
      <c r="E284" s="8"/>
      <c r="F284" s="3"/>
      <c r="G284" s="3" t="str">
        <f t="shared" si="6"/>
        <v/>
      </c>
    </row>
    <row r="285" spans="1:7" ht="20.100000000000001" customHeight="1">
      <c r="A285" s="5"/>
      <c r="B285" s="9"/>
      <c r="E285" s="8"/>
      <c r="F285" s="3"/>
      <c r="G285" s="3" t="str">
        <f t="shared" si="6"/>
        <v/>
      </c>
    </row>
    <row r="286" spans="1:7" ht="20.100000000000001" customHeight="1">
      <c r="A286" s="5"/>
      <c r="B286" s="9"/>
      <c r="E286" s="8"/>
      <c r="F286" s="3"/>
      <c r="G286" s="3" t="str">
        <f t="shared" si="6"/>
        <v/>
      </c>
    </row>
    <row r="287" spans="1:7" ht="20.100000000000001" customHeight="1">
      <c r="A287" s="5"/>
      <c r="B287" s="9"/>
      <c r="E287" s="8"/>
      <c r="F287" s="3"/>
      <c r="G287" s="3" t="str">
        <f t="shared" si="6"/>
        <v/>
      </c>
    </row>
    <row r="288" spans="1:7" ht="20.100000000000001" customHeight="1">
      <c r="A288" s="5"/>
      <c r="B288" s="9"/>
      <c r="E288" s="8"/>
      <c r="F288" s="3"/>
      <c r="G288" s="3" t="str">
        <f t="shared" si="6"/>
        <v/>
      </c>
    </row>
    <row r="289" spans="1:7" ht="20.100000000000001" customHeight="1">
      <c r="A289" s="5"/>
      <c r="B289" s="9"/>
      <c r="E289" s="8"/>
      <c r="F289" s="3"/>
      <c r="G289" s="3" t="str">
        <f t="shared" si="6"/>
        <v/>
      </c>
    </row>
    <row r="290" spans="1:7" ht="20.100000000000001" customHeight="1">
      <c r="A290" s="5"/>
      <c r="B290" s="9"/>
      <c r="E290" s="8"/>
      <c r="F290" s="3"/>
      <c r="G290" s="3" t="str">
        <f t="shared" si="6"/>
        <v/>
      </c>
    </row>
    <row r="291" spans="1:7" ht="20.100000000000001" customHeight="1">
      <c r="A291" s="5"/>
      <c r="B291" s="9"/>
      <c r="E291" s="8"/>
      <c r="F291" s="3"/>
      <c r="G291" s="3" t="str">
        <f t="shared" si="6"/>
        <v/>
      </c>
    </row>
    <row r="292" spans="1:7" ht="20.100000000000001" customHeight="1">
      <c r="A292" s="5"/>
      <c r="B292" s="9"/>
      <c r="E292" s="8"/>
      <c r="F292" s="3"/>
      <c r="G292" s="3" t="str">
        <f t="shared" si="6"/>
        <v/>
      </c>
    </row>
    <row r="293" spans="1:7" ht="20.100000000000001" customHeight="1">
      <c r="A293" s="5"/>
      <c r="B293" s="9"/>
      <c r="E293" s="8"/>
      <c r="F293" s="3"/>
      <c r="G293" s="3" t="str">
        <f t="shared" si="6"/>
        <v/>
      </c>
    </row>
    <row r="294" spans="1:7" ht="20.100000000000001" customHeight="1">
      <c r="A294" s="5"/>
      <c r="B294" s="9"/>
      <c r="E294" s="8"/>
      <c r="F294" s="3"/>
      <c r="G294" s="3" t="str">
        <f t="shared" si="6"/>
        <v/>
      </c>
    </row>
    <row r="295" spans="1:7" ht="20.100000000000001" customHeight="1">
      <c r="A295" s="5"/>
      <c r="B295" s="9"/>
      <c r="E295" s="8"/>
      <c r="F295" s="3"/>
      <c r="G295" s="3" t="str">
        <f t="shared" si="6"/>
        <v/>
      </c>
    </row>
    <row r="296" spans="1:7" ht="20.100000000000001" customHeight="1">
      <c r="A296" s="5"/>
      <c r="B296" s="9"/>
      <c r="E296" s="8"/>
      <c r="F296" s="3"/>
      <c r="G296" s="3" t="str">
        <f t="shared" si="6"/>
        <v/>
      </c>
    </row>
    <row r="297" spans="1:7" ht="20.100000000000001" customHeight="1">
      <c r="A297" s="5"/>
      <c r="B297" s="9"/>
      <c r="E297" s="8"/>
      <c r="F297" s="3"/>
      <c r="G297" s="3" t="str">
        <f t="shared" si="6"/>
        <v/>
      </c>
    </row>
    <row r="298" spans="1:7" ht="20.100000000000001" customHeight="1">
      <c r="A298" s="5"/>
      <c r="B298" s="9"/>
      <c r="E298" s="8"/>
      <c r="F298" s="3"/>
      <c r="G298" s="3" t="str">
        <f t="shared" si="6"/>
        <v/>
      </c>
    </row>
    <row r="299" spans="1:7" ht="20.100000000000001" customHeight="1">
      <c r="A299" s="5"/>
      <c r="B299" s="9"/>
      <c r="E299" s="8"/>
      <c r="F299" s="3"/>
      <c r="G299" s="3" t="str">
        <f t="shared" si="6"/>
        <v/>
      </c>
    </row>
    <row r="300" spans="1:7" ht="20.100000000000001" customHeight="1">
      <c r="A300" s="5"/>
      <c r="B300" s="9"/>
      <c r="E300" s="8"/>
      <c r="F300" s="3"/>
      <c r="G300" s="3" t="str">
        <f t="shared" si="6"/>
        <v/>
      </c>
    </row>
    <row r="301" spans="1:7" ht="20.100000000000001" customHeight="1">
      <c r="A301" s="5"/>
      <c r="B301" s="9"/>
      <c r="E301" s="8"/>
      <c r="F301" s="3"/>
      <c r="G301" s="3" t="str">
        <f t="shared" si="6"/>
        <v/>
      </c>
    </row>
    <row r="302" spans="1:7" ht="20.100000000000001" customHeight="1">
      <c r="A302" s="5"/>
      <c r="B302" s="9"/>
      <c r="E302" s="8"/>
      <c r="F302" s="3"/>
      <c r="G302" s="3" t="str">
        <f t="shared" si="6"/>
        <v/>
      </c>
    </row>
    <row r="303" spans="1:7" ht="20.100000000000001" customHeight="1">
      <c r="A303" s="5"/>
      <c r="B303" s="9"/>
      <c r="E303" s="8"/>
      <c r="F303" s="3"/>
      <c r="G303" s="3" t="str">
        <f t="shared" si="6"/>
        <v/>
      </c>
    </row>
    <row r="304" spans="1:7" ht="20.100000000000001" customHeight="1">
      <c r="A304" s="5"/>
      <c r="B304" s="9"/>
      <c r="E304" s="8"/>
      <c r="F304" s="3"/>
      <c r="G304" s="3" t="str">
        <f t="shared" si="6"/>
        <v/>
      </c>
    </row>
    <row r="305" spans="1:7" ht="20.100000000000001" customHeight="1">
      <c r="A305" s="5"/>
      <c r="B305" s="9"/>
      <c r="E305" s="8"/>
      <c r="F305" s="3"/>
      <c r="G305" s="3" t="str">
        <f t="shared" si="6"/>
        <v/>
      </c>
    </row>
    <row r="306" spans="1:7" ht="20.100000000000001" customHeight="1">
      <c r="A306" s="5"/>
      <c r="B306" s="9"/>
      <c r="E306" s="8"/>
      <c r="F306" s="3"/>
      <c r="G306" s="3" t="str">
        <f t="shared" si="6"/>
        <v/>
      </c>
    </row>
    <row r="307" spans="1:7" ht="20.100000000000001" customHeight="1">
      <c r="A307" s="5"/>
      <c r="B307" s="9"/>
      <c r="E307" s="8"/>
      <c r="F307" s="3"/>
      <c r="G307" s="3" t="str">
        <f t="shared" si="6"/>
        <v/>
      </c>
    </row>
    <row r="308" spans="1:7" ht="20.100000000000001" customHeight="1">
      <c r="A308" s="5"/>
      <c r="B308" s="9"/>
      <c r="E308" s="8"/>
      <c r="F308" s="3"/>
      <c r="G308" s="3" t="str">
        <f t="shared" si="6"/>
        <v/>
      </c>
    </row>
    <row r="309" spans="1:7" ht="20.100000000000001" customHeight="1">
      <c r="A309" s="5"/>
      <c r="B309" s="9"/>
      <c r="E309" s="8"/>
      <c r="F309" s="3"/>
      <c r="G309" s="3" t="str">
        <f t="shared" si="6"/>
        <v/>
      </c>
    </row>
    <row r="310" spans="1:7" ht="20.100000000000001" customHeight="1">
      <c r="A310" s="5"/>
      <c r="B310" s="9"/>
      <c r="E310" s="8"/>
      <c r="F310" s="3"/>
      <c r="G310" s="3" t="str">
        <f t="shared" si="6"/>
        <v/>
      </c>
    </row>
    <row r="311" spans="1:7" ht="20.100000000000001" customHeight="1">
      <c r="A311" s="5"/>
      <c r="B311" s="9"/>
      <c r="E311" s="8"/>
      <c r="F311" s="3"/>
      <c r="G311" s="3" t="str">
        <f t="shared" si="6"/>
        <v/>
      </c>
    </row>
    <row r="312" spans="1:7" ht="20.100000000000001" customHeight="1">
      <c r="A312" s="5"/>
      <c r="B312" s="9"/>
      <c r="E312" s="8"/>
      <c r="F312" s="3"/>
      <c r="G312" s="3" t="str">
        <f t="shared" si="6"/>
        <v/>
      </c>
    </row>
    <row r="313" spans="1:7" ht="20.100000000000001" customHeight="1">
      <c r="A313" s="5"/>
      <c r="B313" s="9"/>
      <c r="E313" s="8"/>
      <c r="F313" s="3"/>
      <c r="G313" s="3" t="str">
        <f t="shared" si="6"/>
        <v/>
      </c>
    </row>
    <row r="314" spans="1:7" ht="20.100000000000001" customHeight="1">
      <c r="A314" s="5"/>
      <c r="B314" s="9"/>
      <c r="E314" s="8"/>
      <c r="F314" s="3"/>
      <c r="G314" s="3" t="str">
        <f t="shared" si="6"/>
        <v/>
      </c>
    </row>
    <row r="315" spans="1:7" ht="20.100000000000001" customHeight="1">
      <c r="A315" s="5"/>
      <c r="B315" s="9"/>
      <c r="E315" s="8"/>
      <c r="F315" s="3"/>
      <c r="G315" s="3" t="str">
        <f t="shared" si="6"/>
        <v/>
      </c>
    </row>
    <row r="316" spans="1:7" ht="20.100000000000001" customHeight="1">
      <c r="A316" s="5"/>
      <c r="B316" s="9"/>
      <c r="E316" s="8"/>
      <c r="F316" s="3"/>
      <c r="G316" s="3" t="str">
        <f t="shared" si="6"/>
        <v/>
      </c>
    </row>
    <row r="317" spans="1:7" ht="20.100000000000001" customHeight="1">
      <c r="A317" s="5"/>
      <c r="B317" s="9"/>
      <c r="E317" s="8"/>
      <c r="F317" s="3"/>
      <c r="G317" s="3" t="str">
        <f t="shared" si="6"/>
        <v/>
      </c>
    </row>
    <row r="318" spans="1:7" ht="20.100000000000001" customHeight="1">
      <c r="A318" s="5"/>
      <c r="B318" s="9"/>
      <c r="E318" s="8"/>
      <c r="F318" s="3"/>
      <c r="G318" s="3" t="str">
        <f t="shared" si="6"/>
        <v/>
      </c>
    </row>
    <row r="319" spans="1:7" ht="20.100000000000001" customHeight="1">
      <c r="A319" s="5"/>
      <c r="B319" s="9"/>
      <c r="E319" s="8"/>
      <c r="F319" s="3"/>
      <c r="G319" s="3" t="str">
        <f t="shared" si="6"/>
        <v/>
      </c>
    </row>
    <row r="320" spans="1:7" ht="20.100000000000001" customHeight="1">
      <c r="A320" s="5"/>
      <c r="B320" s="9"/>
      <c r="E320" s="8"/>
      <c r="F320" s="3"/>
      <c r="G320" s="3" t="str">
        <f t="shared" si="6"/>
        <v/>
      </c>
    </row>
    <row r="321" spans="1:7" ht="20.100000000000001" customHeight="1">
      <c r="A321" s="5"/>
      <c r="B321" s="9"/>
      <c r="E321" s="8"/>
      <c r="F321" s="3"/>
      <c r="G321" s="3" t="str">
        <f t="shared" si="6"/>
        <v/>
      </c>
    </row>
    <row r="322" spans="1:7" ht="20.100000000000001" customHeight="1">
      <c r="A322" s="5"/>
      <c r="B322" s="9"/>
      <c r="E322" s="8"/>
      <c r="F322" s="3"/>
      <c r="G322" s="3" t="str">
        <f t="shared" si="6"/>
        <v/>
      </c>
    </row>
    <row r="323" spans="1:7" ht="20.100000000000001" customHeight="1">
      <c r="A323" s="5"/>
      <c r="B323" s="9"/>
      <c r="E323" s="8"/>
      <c r="F323" s="3"/>
      <c r="G323" s="3" t="str">
        <f t="shared" si="6"/>
        <v/>
      </c>
    </row>
    <row r="324" spans="1:7" ht="20.100000000000001" customHeight="1">
      <c r="A324" s="5"/>
      <c r="B324" s="9"/>
      <c r="E324" s="8"/>
      <c r="F324" s="3"/>
      <c r="G324" s="3" t="str">
        <f t="shared" si="6"/>
        <v/>
      </c>
    </row>
    <row r="325" spans="1:7" ht="20.100000000000001" customHeight="1">
      <c r="A325" s="5"/>
      <c r="B325" s="9"/>
      <c r="E325" s="8"/>
      <c r="F325" s="3"/>
      <c r="G325" s="3" t="str">
        <f t="shared" si="6"/>
        <v/>
      </c>
    </row>
    <row r="326" spans="1:7" ht="20.100000000000001" customHeight="1">
      <c r="A326" s="5"/>
      <c r="B326" s="9"/>
      <c r="E326" s="8"/>
      <c r="F326" s="3"/>
      <c r="G326" s="3" t="str">
        <f t="shared" si="6"/>
        <v/>
      </c>
    </row>
    <row r="327" spans="1:7" ht="20.100000000000001" customHeight="1">
      <c r="A327" s="5"/>
      <c r="B327" s="9"/>
      <c r="E327" s="8"/>
      <c r="F327" s="3"/>
      <c r="G327" s="3" t="str">
        <f t="shared" si="6"/>
        <v/>
      </c>
    </row>
    <row r="328" spans="1:7" ht="20.100000000000001" customHeight="1">
      <c r="A328" s="5"/>
      <c r="B328" s="9"/>
      <c r="E328" s="8"/>
      <c r="F328" s="3"/>
      <c r="G328" s="3" t="str">
        <f t="shared" si="6"/>
        <v/>
      </c>
    </row>
    <row r="329" spans="1:7" ht="20.100000000000001" customHeight="1">
      <c r="A329" s="5"/>
      <c r="B329" s="9"/>
      <c r="E329" s="8"/>
      <c r="F329" s="3"/>
      <c r="G329" s="3" t="str">
        <f t="shared" si="6"/>
        <v/>
      </c>
    </row>
    <row r="330" spans="1:7" ht="20.100000000000001" customHeight="1">
      <c r="A330" s="5"/>
      <c r="B330" s="9"/>
      <c r="E330" s="8"/>
      <c r="F330" s="3"/>
      <c r="G330" s="3" t="str">
        <f t="shared" si="6"/>
        <v/>
      </c>
    </row>
    <row r="331" spans="1:7" ht="20.100000000000001" customHeight="1">
      <c r="A331" s="5"/>
      <c r="B331" s="9"/>
      <c r="E331" s="8"/>
      <c r="F331" s="3"/>
      <c r="G331" s="3" t="str">
        <f t="shared" si="6"/>
        <v/>
      </c>
    </row>
    <row r="332" spans="1:7" ht="20.100000000000001" customHeight="1">
      <c r="A332" s="5"/>
      <c r="B332" s="9"/>
      <c r="E332" s="8"/>
      <c r="F332" s="3"/>
      <c r="G332" s="3" t="str">
        <f t="shared" si="6"/>
        <v/>
      </c>
    </row>
    <row r="333" spans="1:7" ht="20.100000000000001" customHeight="1">
      <c r="A333" s="5"/>
      <c r="B333" s="9"/>
      <c r="E333" s="8"/>
      <c r="F333" s="3"/>
      <c r="G333" s="3" t="str">
        <f t="shared" si="6"/>
        <v/>
      </c>
    </row>
    <row r="334" spans="1:7" ht="20.100000000000001" customHeight="1">
      <c r="A334" s="5"/>
      <c r="B334" s="9"/>
      <c r="E334" s="8"/>
      <c r="F334" s="3"/>
      <c r="G334" s="3" t="str">
        <f t="shared" si="6"/>
        <v/>
      </c>
    </row>
    <row r="335" spans="1:7" ht="20.100000000000001" customHeight="1">
      <c r="A335" s="5"/>
      <c r="B335" s="9"/>
      <c r="E335" s="8"/>
      <c r="F335" s="3"/>
      <c r="G335" s="3" t="str">
        <f t="shared" si="6"/>
        <v/>
      </c>
    </row>
    <row r="336" spans="1:7" ht="20.100000000000001" customHeight="1">
      <c r="A336" s="5"/>
      <c r="B336" s="9"/>
      <c r="E336" s="8"/>
      <c r="F336" s="3"/>
      <c r="G336" s="3" t="str">
        <f t="shared" si="6"/>
        <v/>
      </c>
    </row>
    <row r="337" spans="1:7" ht="20.100000000000001" customHeight="1">
      <c r="A337" s="5"/>
      <c r="B337" s="9"/>
      <c r="E337" s="8"/>
      <c r="F337" s="3"/>
      <c r="G337" s="3" t="str">
        <f t="shared" si="6"/>
        <v/>
      </c>
    </row>
    <row r="338" spans="1:7" ht="20.100000000000001" customHeight="1">
      <c r="A338" s="5"/>
      <c r="B338" s="9"/>
      <c r="E338" s="8"/>
      <c r="F338" s="3"/>
      <c r="G338" s="3" t="str">
        <f t="shared" si="6"/>
        <v/>
      </c>
    </row>
    <row r="339" spans="1:7" ht="20.100000000000001" customHeight="1">
      <c r="A339" s="5"/>
      <c r="B339" s="9"/>
      <c r="E339" s="8"/>
      <c r="F339" s="3"/>
      <c r="G339" s="3" t="str">
        <f t="shared" si="6"/>
        <v/>
      </c>
    </row>
    <row r="340" spans="1:7" ht="20.100000000000001" customHeight="1">
      <c r="A340" s="5"/>
      <c r="B340" s="9"/>
      <c r="E340" s="8"/>
      <c r="F340" s="3"/>
      <c r="G340" s="3" t="str">
        <f t="shared" si="6"/>
        <v/>
      </c>
    </row>
    <row r="341" spans="1:7" ht="20.100000000000001" customHeight="1">
      <c r="A341" s="5"/>
      <c r="B341" s="9"/>
      <c r="E341" s="8"/>
      <c r="F341" s="3"/>
      <c r="G341" s="3" t="str">
        <f t="shared" si="6"/>
        <v/>
      </c>
    </row>
    <row r="342" spans="1:7" ht="20.100000000000001" customHeight="1">
      <c r="A342" s="5"/>
      <c r="B342" s="9"/>
      <c r="E342" s="8"/>
      <c r="F342" s="3"/>
      <c r="G342" s="3" t="str">
        <f t="shared" si="6"/>
        <v/>
      </c>
    </row>
    <row r="343" spans="1:7" ht="20.100000000000001" customHeight="1">
      <c r="A343" s="5"/>
      <c r="B343" s="9"/>
      <c r="E343" s="8"/>
      <c r="F343" s="3"/>
      <c r="G343" s="3" t="str">
        <f t="shared" si="6"/>
        <v/>
      </c>
    </row>
    <row r="344" spans="1:7" ht="20.100000000000001" customHeight="1">
      <c r="A344" s="5"/>
      <c r="B344" s="9"/>
      <c r="E344" s="8"/>
      <c r="F344" s="3"/>
      <c r="G344" s="3" t="str">
        <f t="shared" si="6"/>
        <v/>
      </c>
    </row>
    <row r="345" spans="1:7" ht="20.100000000000001" customHeight="1">
      <c r="A345" s="5"/>
      <c r="B345" s="9"/>
      <c r="E345" s="8"/>
      <c r="F345" s="3"/>
      <c r="G345" s="3" t="str">
        <f t="shared" si="6"/>
        <v/>
      </c>
    </row>
    <row r="346" spans="1:7" ht="20.100000000000001" customHeight="1">
      <c r="A346" s="5"/>
      <c r="B346" s="9"/>
      <c r="E346" s="8"/>
      <c r="F346" s="3"/>
      <c r="G346" s="3" t="str">
        <f t="shared" ref="G346:G409" si="7">IF(OR(E346="",F346=""),"",E346*F346)</f>
        <v/>
      </c>
    </row>
    <row r="347" spans="1:7" ht="20.100000000000001" customHeight="1">
      <c r="A347" s="5"/>
      <c r="B347" s="9"/>
      <c r="E347" s="8"/>
      <c r="F347" s="3"/>
      <c r="G347" s="3" t="str">
        <f t="shared" si="7"/>
        <v/>
      </c>
    </row>
    <row r="348" spans="1:7" ht="20.100000000000001" customHeight="1">
      <c r="A348" s="5"/>
      <c r="B348" s="9"/>
      <c r="E348" s="8"/>
      <c r="F348" s="3"/>
      <c r="G348" s="3" t="str">
        <f t="shared" si="7"/>
        <v/>
      </c>
    </row>
    <row r="349" spans="1:7" ht="20.100000000000001" customHeight="1">
      <c r="A349" s="5"/>
      <c r="B349" s="9"/>
      <c r="E349" s="8"/>
      <c r="F349" s="3"/>
      <c r="G349" s="3" t="str">
        <f t="shared" si="7"/>
        <v/>
      </c>
    </row>
    <row r="350" spans="1:7" ht="20.100000000000001" customHeight="1">
      <c r="A350" s="5"/>
      <c r="B350" s="9"/>
      <c r="E350" s="8"/>
      <c r="F350" s="3"/>
      <c r="G350" s="3" t="str">
        <f t="shared" si="7"/>
        <v/>
      </c>
    </row>
    <row r="351" spans="1:7" ht="20.100000000000001" customHeight="1">
      <c r="A351" s="5"/>
      <c r="B351" s="9"/>
      <c r="E351" s="8"/>
      <c r="F351" s="3"/>
      <c r="G351" s="3" t="str">
        <f t="shared" si="7"/>
        <v/>
      </c>
    </row>
    <row r="352" spans="1:7" ht="20.100000000000001" customHeight="1">
      <c r="A352" s="5"/>
      <c r="B352" s="9"/>
      <c r="E352" s="8"/>
      <c r="F352" s="3"/>
      <c r="G352" s="3" t="str">
        <f t="shared" si="7"/>
        <v/>
      </c>
    </row>
    <row r="353" spans="1:7" ht="20.100000000000001" customHeight="1">
      <c r="A353" s="5"/>
      <c r="B353" s="9"/>
      <c r="E353" s="8"/>
      <c r="F353" s="3"/>
      <c r="G353" s="3" t="str">
        <f t="shared" si="7"/>
        <v/>
      </c>
    </row>
    <row r="354" spans="1:7" ht="20.100000000000001" customHeight="1">
      <c r="A354" s="5"/>
      <c r="B354" s="9"/>
      <c r="E354" s="8"/>
      <c r="F354" s="3"/>
      <c r="G354" s="3" t="str">
        <f t="shared" si="7"/>
        <v/>
      </c>
    </row>
    <row r="355" spans="1:7" ht="20.100000000000001" customHeight="1">
      <c r="A355" s="5"/>
      <c r="B355" s="9"/>
      <c r="E355" s="8"/>
      <c r="F355" s="3"/>
      <c r="G355" s="3" t="str">
        <f t="shared" si="7"/>
        <v/>
      </c>
    </row>
    <row r="356" spans="1:7" ht="20.100000000000001" customHeight="1">
      <c r="A356" s="5"/>
      <c r="B356" s="9"/>
      <c r="E356" s="8"/>
      <c r="F356" s="3"/>
      <c r="G356" s="3" t="str">
        <f t="shared" si="7"/>
        <v/>
      </c>
    </row>
    <row r="357" spans="1:7" ht="20.100000000000001" customHeight="1">
      <c r="A357" s="5"/>
      <c r="B357" s="9"/>
      <c r="E357" s="8"/>
      <c r="F357" s="3"/>
      <c r="G357" s="3" t="str">
        <f t="shared" si="7"/>
        <v/>
      </c>
    </row>
    <row r="358" spans="1:7" ht="20.100000000000001" customHeight="1">
      <c r="A358" s="5"/>
      <c r="B358" s="9"/>
      <c r="E358" s="8"/>
      <c r="F358" s="3"/>
      <c r="G358" s="3" t="str">
        <f t="shared" si="7"/>
        <v/>
      </c>
    </row>
    <row r="359" spans="1:7" ht="20.100000000000001" customHeight="1">
      <c r="A359" s="5"/>
      <c r="B359" s="9"/>
      <c r="E359" s="8"/>
      <c r="F359" s="3"/>
      <c r="G359" s="3" t="str">
        <f t="shared" si="7"/>
        <v/>
      </c>
    </row>
    <row r="360" spans="1:7" ht="20.100000000000001" customHeight="1">
      <c r="A360" s="5"/>
      <c r="B360" s="9"/>
      <c r="E360" s="8"/>
      <c r="F360" s="3"/>
      <c r="G360" s="3" t="str">
        <f t="shared" si="7"/>
        <v/>
      </c>
    </row>
    <row r="361" spans="1:7" ht="20.100000000000001" customHeight="1">
      <c r="A361" s="5"/>
      <c r="B361" s="9"/>
      <c r="E361" s="8"/>
      <c r="F361" s="3"/>
      <c r="G361" s="3" t="str">
        <f t="shared" si="7"/>
        <v/>
      </c>
    </row>
    <row r="362" spans="1:7" ht="20.100000000000001" customHeight="1">
      <c r="A362" s="5"/>
      <c r="B362" s="9"/>
      <c r="E362" s="8"/>
      <c r="F362" s="3"/>
      <c r="G362" s="3" t="str">
        <f t="shared" si="7"/>
        <v/>
      </c>
    </row>
    <row r="363" spans="1:7" ht="20.100000000000001" customHeight="1">
      <c r="A363" s="5"/>
      <c r="B363" s="9"/>
      <c r="E363" s="8"/>
      <c r="F363" s="3"/>
      <c r="G363" s="3" t="str">
        <f t="shared" si="7"/>
        <v/>
      </c>
    </row>
    <row r="364" spans="1:7" ht="20.100000000000001" customHeight="1">
      <c r="A364" s="5"/>
      <c r="B364" s="9"/>
      <c r="E364" s="8"/>
      <c r="F364" s="3"/>
      <c r="G364" s="3" t="str">
        <f t="shared" si="7"/>
        <v/>
      </c>
    </row>
    <row r="365" spans="1:7" ht="20.100000000000001" customHeight="1">
      <c r="A365" s="5"/>
      <c r="B365" s="9"/>
      <c r="E365" s="8"/>
      <c r="F365" s="3"/>
      <c r="G365" s="3" t="str">
        <f t="shared" si="7"/>
        <v/>
      </c>
    </row>
    <row r="366" spans="1:7" ht="20.100000000000001" customHeight="1">
      <c r="A366" s="5"/>
      <c r="B366" s="9"/>
      <c r="E366" s="8"/>
      <c r="F366" s="3"/>
      <c r="G366" s="3" t="str">
        <f t="shared" si="7"/>
        <v/>
      </c>
    </row>
    <row r="367" spans="1:7" ht="20.100000000000001" customHeight="1">
      <c r="A367" s="5"/>
      <c r="B367" s="9"/>
      <c r="E367" s="8"/>
      <c r="F367" s="3"/>
      <c r="G367" s="3" t="str">
        <f t="shared" si="7"/>
        <v/>
      </c>
    </row>
    <row r="368" spans="1:7" ht="20.100000000000001" customHeight="1">
      <c r="A368" s="5"/>
      <c r="B368" s="9"/>
      <c r="E368" s="8"/>
      <c r="F368" s="3"/>
      <c r="G368" s="3" t="str">
        <f t="shared" si="7"/>
        <v/>
      </c>
    </row>
    <row r="369" spans="1:7" ht="20.100000000000001" customHeight="1">
      <c r="A369" s="5"/>
      <c r="B369" s="9"/>
      <c r="E369" s="8"/>
      <c r="F369" s="3"/>
      <c r="G369" s="3" t="str">
        <f t="shared" si="7"/>
        <v/>
      </c>
    </row>
    <row r="370" spans="1:7" ht="20.100000000000001" customHeight="1">
      <c r="A370" s="5"/>
      <c r="B370" s="9"/>
      <c r="E370" s="8"/>
      <c r="F370" s="3"/>
      <c r="G370" s="3" t="str">
        <f t="shared" si="7"/>
        <v/>
      </c>
    </row>
    <row r="371" spans="1:7" ht="20.100000000000001" customHeight="1">
      <c r="A371" s="5"/>
      <c r="B371" s="9"/>
      <c r="E371" s="8"/>
      <c r="F371" s="3"/>
      <c r="G371" s="3" t="str">
        <f t="shared" si="7"/>
        <v/>
      </c>
    </row>
    <row r="372" spans="1:7" ht="20.100000000000001" customHeight="1">
      <c r="A372" s="5"/>
      <c r="B372" s="9"/>
      <c r="E372" s="8"/>
      <c r="F372" s="3"/>
      <c r="G372" s="3" t="str">
        <f t="shared" si="7"/>
        <v/>
      </c>
    </row>
    <row r="373" spans="1:7" ht="20.100000000000001" customHeight="1">
      <c r="A373" s="5"/>
      <c r="B373" s="9"/>
      <c r="E373" s="8"/>
      <c r="F373" s="3"/>
      <c r="G373" s="3" t="str">
        <f t="shared" si="7"/>
        <v/>
      </c>
    </row>
    <row r="374" spans="1:7" ht="20.100000000000001" customHeight="1">
      <c r="A374" s="5"/>
      <c r="B374" s="9"/>
      <c r="E374" s="8"/>
      <c r="F374" s="3"/>
      <c r="G374" s="3" t="str">
        <f t="shared" si="7"/>
        <v/>
      </c>
    </row>
    <row r="375" spans="1:7" ht="20.100000000000001" customHeight="1">
      <c r="A375" s="5"/>
      <c r="B375" s="9"/>
      <c r="E375" s="8"/>
      <c r="F375" s="3"/>
      <c r="G375" s="3" t="str">
        <f t="shared" si="7"/>
        <v/>
      </c>
    </row>
    <row r="376" spans="1:7" ht="20.100000000000001" customHeight="1">
      <c r="A376" s="5"/>
      <c r="B376" s="9"/>
      <c r="E376" s="8"/>
      <c r="F376" s="3"/>
      <c r="G376" s="3" t="str">
        <f t="shared" si="7"/>
        <v/>
      </c>
    </row>
    <row r="377" spans="1:7" ht="20.100000000000001" customHeight="1">
      <c r="A377" s="5"/>
      <c r="B377" s="9"/>
      <c r="E377" s="8"/>
      <c r="F377" s="3"/>
      <c r="G377" s="3" t="str">
        <f t="shared" si="7"/>
        <v/>
      </c>
    </row>
    <row r="378" spans="1:7" ht="20.100000000000001" customHeight="1">
      <c r="A378" s="5"/>
      <c r="B378" s="9"/>
      <c r="E378" s="8"/>
      <c r="F378" s="3"/>
      <c r="G378" s="3" t="str">
        <f t="shared" si="7"/>
        <v/>
      </c>
    </row>
    <row r="379" spans="1:7" ht="20.100000000000001" customHeight="1">
      <c r="A379" s="5"/>
      <c r="B379" s="9"/>
      <c r="E379" s="8"/>
      <c r="F379" s="3"/>
      <c r="G379" s="3" t="str">
        <f t="shared" si="7"/>
        <v/>
      </c>
    </row>
    <row r="380" spans="1:7" ht="20.100000000000001" customHeight="1">
      <c r="A380" s="5"/>
      <c r="B380" s="9"/>
      <c r="E380" s="8"/>
      <c r="F380" s="3"/>
      <c r="G380" s="3" t="str">
        <f t="shared" si="7"/>
        <v/>
      </c>
    </row>
    <row r="381" spans="1:7" ht="20.100000000000001" customHeight="1">
      <c r="A381" s="5"/>
      <c r="B381" s="9"/>
      <c r="E381" s="8"/>
      <c r="F381" s="3"/>
      <c r="G381" s="3" t="str">
        <f t="shared" si="7"/>
        <v/>
      </c>
    </row>
    <row r="382" spans="1:7" ht="20.100000000000001" customHeight="1">
      <c r="A382" s="5"/>
      <c r="B382" s="9"/>
      <c r="E382" s="8"/>
      <c r="F382" s="3"/>
      <c r="G382" s="3" t="str">
        <f t="shared" si="7"/>
        <v/>
      </c>
    </row>
    <row r="383" spans="1:7" ht="20.100000000000001" customHeight="1">
      <c r="A383" s="5"/>
      <c r="B383" s="9"/>
      <c r="E383" s="8"/>
      <c r="F383" s="3"/>
      <c r="G383" s="3" t="str">
        <f t="shared" si="7"/>
        <v/>
      </c>
    </row>
    <row r="384" spans="1:7" ht="20.100000000000001" customHeight="1">
      <c r="A384" s="5"/>
      <c r="B384" s="9"/>
      <c r="E384" s="8"/>
      <c r="F384" s="3"/>
      <c r="G384" s="3" t="str">
        <f t="shared" si="7"/>
        <v/>
      </c>
    </row>
    <row r="385" spans="1:7" ht="20.100000000000001" customHeight="1">
      <c r="A385" s="5"/>
      <c r="B385" s="9"/>
      <c r="E385" s="8"/>
      <c r="F385" s="3"/>
      <c r="G385" s="3" t="str">
        <f t="shared" si="7"/>
        <v/>
      </c>
    </row>
    <row r="386" spans="1:7" ht="20.100000000000001" customHeight="1">
      <c r="A386" s="5"/>
      <c r="B386" s="9"/>
      <c r="E386" s="8"/>
      <c r="F386" s="3"/>
      <c r="G386" s="3" t="str">
        <f t="shared" si="7"/>
        <v/>
      </c>
    </row>
    <row r="387" spans="1:7" ht="20.100000000000001" customHeight="1">
      <c r="A387" s="5"/>
      <c r="B387" s="9"/>
      <c r="E387" s="8"/>
      <c r="F387" s="3"/>
      <c r="G387" s="3" t="str">
        <f t="shared" si="7"/>
        <v/>
      </c>
    </row>
    <row r="388" spans="1:7" ht="20.100000000000001" customHeight="1">
      <c r="A388" s="5"/>
      <c r="B388" s="9"/>
      <c r="E388" s="8"/>
      <c r="F388" s="3"/>
      <c r="G388" s="3" t="str">
        <f t="shared" si="7"/>
        <v/>
      </c>
    </row>
    <row r="389" spans="1:7" ht="20.100000000000001" customHeight="1">
      <c r="A389" s="5"/>
      <c r="B389" s="9"/>
      <c r="E389" s="8"/>
      <c r="F389" s="3"/>
      <c r="G389" s="3" t="str">
        <f t="shared" si="7"/>
        <v/>
      </c>
    </row>
    <row r="390" spans="1:7" ht="20.100000000000001" customHeight="1">
      <c r="A390" s="5"/>
      <c r="B390" s="9"/>
      <c r="E390" s="8"/>
      <c r="F390" s="3"/>
      <c r="G390" s="3" t="str">
        <f t="shared" si="7"/>
        <v/>
      </c>
    </row>
    <row r="391" spans="1:7" ht="20.100000000000001" customHeight="1">
      <c r="A391" s="5"/>
      <c r="B391" s="1"/>
      <c r="E391" s="8"/>
      <c r="F391" s="3"/>
      <c r="G391" s="3" t="str">
        <f t="shared" si="7"/>
        <v/>
      </c>
    </row>
    <row r="392" spans="1:7" ht="20.100000000000001" customHeight="1">
      <c r="A392" s="5"/>
      <c r="B392" s="1"/>
      <c r="E392" s="8"/>
      <c r="F392" s="3"/>
      <c r="G392" s="3" t="str">
        <f t="shared" si="7"/>
        <v/>
      </c>
    </row>
    <row r="393" spans="1:7" ht="20.100000000000001" customHeight="1">
      <c r="A393" s="5"/>
      <c r="B393" s="1"/>
      <c r="E393" s="8"/>
      <c r="F393" s="3"/>
      <c r="G393" s="3" t="str">
        <f t="shared" si="7"/>
        <v/>
      </c>
    </row>
    <row r="394" spans="1:7" ht="20.100000000000001" customHeight="1">
      <c r="A394" s="5"/>
      <c r="B394" s="1"/>
      <c r="E394" s="8"/>
      <c r="F394" s="3"/>
      <c r="G394" s="3" t="str">
        <f t="shared" si="7"/>
        <v/>
      </c>
    </row>
    <row r="395" spans="1:7" ht="20.100000000000001" customHeight="1">
      <c r="A395" s="5"/>
      <c r="B395" s="1"/>
      <c r="E395" s="8"/>
      <c r="F395" s="3"/>
      <c r="G395" s="3" t="str">
        <f t="shared" si="7"/>
        <v/>
      </c>
    </row>
    <row r="396" spans="1:7" ht="20.100000000000001" customHeight="1">
      <c r="A396" s="5"/>
      <c r="B396" s="1"/>
      <c r="E396" s="8"/>
      <c r="F396" s="3"/>
      <c r="G396" s="3" t="str">
        <f t="shared" si="7"/>
        <v/>
      </c>
    </row>
    <row r="397" spans="1:7" ht="20.100000000000001" customHeight="1">
      <c r="A397" s="5"/>
      <c r="B397" s="1"/>
      <c r="E397" s="8"/>
      <c r="F397" s="3"/>
      <c r="G397" s="3" t="str">
        <f t="shared" si="7"/>
        <v/>
      </c>
    </row>
    <row r="398" spans="1:7" ht="20.100000000000001" customHeight="1">
      <c r="A398" s="5"/>
      <c r="B398" s="1"/>
      <c r="E398" s="8"/>
      <c r="F398" s="3"/>
      <c r="G398" s="3" t="str">
        <f t="shared" si="7"/>
        <v/>
      </c>
    </row>
    <row r="399" spans="1:7" ht="20.100000000000001" customHeight="1">
      <c r="A399" s="5"/>
      <c r="B399" s="1"/>
      <c r="E399" s="8"/>
      <c r="F399" s="3"/>
      <c r="G399" s="3" t="str">
        <f t="shared" si="7"/>
        <v/>
      </c>
    </row>
    <row r="400" spans="1:7" ht="20.100000000000001" customHeight="1">
      <c r="A400" s="5"/>
      <c r="B400" s="1"/>
      <c r="E400" s="8"/>
      <c r="F400" s="3"/>
      <c r="G400" s="3" t="str">
        <f t="shared" si="7"/>
        <v/>
      </c>
    </row>
    <row r="401" spans="1:7" ht="20.100000000000001" customHeight="1">
      <c r="A401" s="5"/>
      <c r="B401" s="1"/>
      <c r="E401" s="8"/>
      <c r="F401" s="3"/>
      <c r="G401" s="3" t="str">
        <f t="shared" si="7"/>
        <v/>
      </c>
    </row>
    <row r="402" spans="1:7" ht="20.100000000000001" customHeight="1">
      <c r="A402" s="5"/>
      <c r="B402" s="1"/>
      <c r="E402" s="8"/>
      <c r="F402" s="3"/>
      <c r="G402" s="3" t="str">
        <f t="shared" si="7"/>
        <v/>
      </c>
    </row>
    <row r="403" spans="1:7" ht="20.100000000000001" customHeight="1">
      <c r="A403" s="5"/>
      <c r="B403" s="1"/>
      <c r="E403" s="8"/>
      <c r="F403" s="3"/>
      <c r="G403" s="3" t="str">
        <f t="shared" si="7"/>
        <v/>
      </c>
    </row>
    <row r="404" spans="1:7" ht="20.100000000000001" customHeight="1">
      <c r="A404" s="5"/>
      <c r="B404" s="1"/>
      <c r="E404" s="8"/>
      <c r="F404" s="3"/>
      <c r="G404" s="3" t="str">
        <f t="shared" si="7"/>
        <v/>
      </c>
    </row>
    <row r="405" spans="1:7" ht="20.100000000000001" customHeight="1">
      <c r="A405" s="5"/>
      <c r="B405" s="1"/>
      <c r="E405" s="8"/>
      <c r="F405" s="3"/>
      <c r="G405" s="3" t="str">
        <f t="shared" si="7"/>
        <v/>
      </c>
    </row>
    <row r="406" spans="1:7" ht="20.100000000000001" customHeight="1">
      <c r="A406" s="5"/>
      <c r="B406" s="1"/>
      <c r="E406" s="8"/>
      <c r="F406" s="3"/>
      <c r="G406" s="3" t="str">
        <f t="shared" si="7"/>
        <v/>
      </c>
    </row>
    <row r="407" spans="1:7" ht="20.100000000000001" customHeight="1">
      <c r="A407" s="5"/>
      <c r="B407" s="1"/>
      <c r="E407" s="8"/>
      <c r="F407" s="3"/>
      <c r="G407" s="3" t="str">
        <f t="shared" si="7"/>
        <v/>
      </c>
    </row>
    <row r="408" spans="1:7" ht="20.100000000000001" customHeight="1">
      <c r="A408" s="5"/>
      <c r="B408" s="1"/>
      <c r="E408" s="8"/>
      <c r="F408" s="3"/>
      <c r="G408" s="3" t="str">
        <f t="shared" si="7"/>
        <v/>
      </c>
    </row>
    <row r="409" spans="1:7" ht="20.100000000000001" customHeight="1">
      <c r="A409" s="5"/>
      <c r="B409" s="1"/>
      <c r="E409" s="8"/>
      <c r="F409" s="3"/>
      <c r="G409" s="3" t="str">
        <f t="shared" si="7"/>
        <v/>
      </c>
    </row>
    <row r="410" spans="1:7" ht="20.100000000000001" customHeight="1">
      <c r="A410" s="5"/>
      <c r="B410" s="1"/>
      <c r="E410" s="8"/>
      <c r="F410" s="3"/>
      <c r="G410" s="3" t="str">
        <f t="shared" ref="G410:G461" si="8">IF(OR(E410="",F410=""),"",E410*F410)</f>
        <v/>
      </c>
    </row>
    <row r="411" spans="1:7" ht="20.100000000000001" customHeight="1">
      <c r="A411" s="5"/>
      <c r="B411" s="1"/>
      <c r="E411" s="8"/>
      <c r="F411" s="3"/>
      <c r="G411" s="3" t="str">
        <f t="shared" si="8"/>
        <v/>
      </c>
    </row>
    <row r="412" spans="1:7" ht="20.100000000000001" customHeight="1">
      <c r="A412" s="5"/>
      <c r="B412" s="1"/>
      <c r="E412" s="8"/>
      <c r="F412" s="3"/>
      <c r="G412" s="3" t="str">
        <f t="shared" si="8"/>
        <v/>
      </c>
    </row>
    <row r="413" spans="1:7" ht="20.100000000000001" customHeight="1">
      <c r="A413" s="5"/>
      <c r="B413" s="1"/>
      <c r="E413" s="8"/>
      <c r="F413" s="3"/>
      <c r="G413" s="3" t="str">
        <f t="shared" si="8"/>
        <v/>
      </c>
    </row>
    <row r="414" spans="1:7" ht="20.100000000000001" customHeight="1">
      <c r="A414" s="5"/>
      <c r="B414" s="1"/>
      <c r="E414" s="8"/>
      <c r="F414" s="3"/>
      <c r="G414" s="3" t="str">
        <f t="shared" si="8"/>
        <v/>
      </c>
    </row>
    <row r="415" spans="1:7" ht="20.100000000000001" customHeight="1">
      <c r="A415" s="5"/>
      <c r="B415" s="1"/>
      <c r="E415" s="8"/>
      <c r="F415" s="3"/>
      <c r="G415" s="3" t="str">
        <f t="shared" si="8"/>
        <v/>
      </c>
    </row>
    <row r="416" spans="1:7" ht="20.100000000000001" customHeight="1">
      <c r="A416" s="5"/>
      <c r="B416" s="1"/>
      <c r="E416" s="8"/>
      <c r="F416" s="3"/>
      <c r="G416" s="3" t="str">
        <f t="shared" si="8"/>
        <v/>
      </c>
    </row>
    <row r="417" spans="1:7" ht="20.100000000000001" customHeight="1">
      <c r="A417" s="5"/>
      <c r="B417" s="1"/>
      <c r="E417" s="8"/>
      <c r="F417" s="3"/>
      <c r="G417" s="3" t="str">
        <f t="shared" si="8"/>
        <v/>
      </c>
    </row>
    <row r="418" spans="1:7" ht="20.100000000000001" customHeight="1">
      <c r="A418" s="5"/>
      <c r="B418" s="1"/>
      <c r="E418" s="8"/>
      <c r="F418" s="3"/>
      <c r="G418" s="3" t="str">
        <f t="shared" si="8"/>
        <v/>
      </c>
    </row>
    <row r="419" spans="1:7" ht="20.100000000000001" customHeight="1">
      <c r="A419" s="5"/>
      <c r="B419" s="1"/>
      <c r="E419" s="8"/>
      <c r="F419" s="3"/>
      <c r="G419" s="3" t="str">
        <f t="shared" si="8"/>
        <v/>
      </c>
    </row>
    <row r="420" spans="1:7" ht="20.100000000000001" customHeight="1">
      <c r="A420" s="5"/>
      <c r="B420" s="1"/>
      <c r="E420" s="8"/>
      <c r="F420" s="3"/>
      <c r="G420" s="3" t="str">
        <f t="shared" si="8"/>
        <v/>
      </c>
    </row>
    <row r="421" spans="1:7" ht="20.100000000000001" customHeight="1">
      <c r="A421" s="5"/>
      <c r="B421" s="1"/>
      <c r="E421" s="8"/>
      <c r="F421" s="3"/>
      <c r="G421" s="3" t="str">
        <f t="shared" si="8"/>
        <v/>
      </c>
    </row>
    <row r="422" spans="1:7" ht="20.100000000000001" customHeight="1">
      <c r="A422" s="5"/>
      <c r="B422" s="1"/>
      <c r="E422" s="8"/>
      <c r="F422" s="3"/>
      <c r="G422" s="3" t="str">
        <f t="shared" si="8"/>
        <v/>
      </c>
    </row>
    <row r="423" spans="1:7" ht="20.100000000000001" customHeight="1">
      <c r="A423" s="5"/>
      <c r="B423" s="1"/>
      <c r="E423" s="8"/>
      <c r="F423" s="3"/>
      <c r="G423" s="3" t="str">
        <f t="shared" si="8"/>
        <v/>
      </c>
    </row>
    <row r="424" spans="1:7" ht="20.100000000000001" customHeight="1">
      <c r="A424" s="5"/>
      <c r="B424" s="1"/>
      <c r="E424" s="8"/>
      <c r="F424" s="3"/>
      <c r="G424" s="3" t="str">
        <f t="shared" si="8"/>
        <v/>
      </c>
    </row>
    <row r="425" spans="1:7" ht="20.100000000000001" customHeight="1">
      <c r="A425" s="5"/>
      <c r="B425" s="1"/>
      <c r="E425" s="8"/>
      <c r="F425" s="3"/>
      <c r="G425" s="3" t="str">
        <f t="shared" si="8"/>
        <v/>
      </c>
    </row>
    <row r="426" spans="1:7" ht="20.100000000000001" customHeight="1">
      <c r="A426" s="5"/>
      <c r="B426" s="1"/>
      <c r="E426" s="8"/>
      <c r="F426" s="3"/>
      <c r="G426" s="3" t="str">
        <f t="shared" si="8"/>
        <v/>
      </c>
    </row>
    <row r="427" spans="1:7" ht="20.100000000000001" customHeight="1">
      <c r="A427" s="5"/>
      <c r="B427" s="1"/>
      <c r="E427" s="8"/>
      <c r="F427" s="3"/>
      <c r="G427" s="3" t="str">
        <f t="shared" si="8"/>
        <v/>
      </c>
    </row>
    <row r="428" spans="1:7" ht="20.100000000000001" customHeight="1">
      <c r="A428" s="5"/>
      <c r="B428" s="1"/>
      <c r="E428" s="8"/>
      <c r="F428" s="3"/>
      <c r="G428" s="3" t="str">
        <f t="shared" si="8"/>
        <v/>
      </c>
    </row>
    <row r="429" spans="1:7" ht="20.100000000000001" customHeight="1">
      <c r="A429" s="5"/>
      <c r="B429" s="1"/>
      <c r="E429" s="8"/>
      <c r="F429" s="3"/>
      <c r="G429" s="3" t="str">
        <f t="shared" si="8"/>
        <v/>
      </c>
    </row>
    <row r="430" spans="1:7" ht="20.100000000000001" customHeight="1">
      <c r="A430" s="5"/>
      <c r="B430" s="1"/>
      <c r="E430" s="8"/>
      <c r="F430" s="3"/>
      <c r="G430" s="3" t="str">
        <f t="shared" si="8"/>
        <v/>
      </c>
    </row>
    <row r="431" spans="1:7" ht="20.100000000000001" customHeight="1">
      <c r="A431" s="5"/>
      <c r="B431" s="1"/>
      <c r="E431" s="8"/>
      <c r="F431" s="3"/>
      <c r="G431" s="3" t="str">
        <f t="shared" si="8"/>
        <v/>
      </c>
    </row>
    <row r="432" spans="1:7" ht="20.100000000000001" customHeight="1">
      <c r="A432" s="5"/>
      <c r="B432" s="1"/>
      <c r="E432" s="8"/>
      <c r="F432" s="3"/>
      <c r="G432" s="3" t="str">
        <f t="shared" si="8"/>
        <v/>
      </c>
    </row>
    <row r="433" spans="1:7" ht="20.100000000000001" customHeight="1">
      <c r="A433" s="5"/>
      <c r="B433" s="1"/>
      <c r="E433" s="8"/>
      <c r="F433" s="3"/>
      <c r="G433" s="3" t="str">
        <f t="shared" si="8"/>
        <v/>
      </c>
    </row>
    <row r="434" spans="1:7" ht="20.100000000000001" customHeight="1">
      <c r="A434" s="5"/>
      <c r="B434" s="1"/>
      <c r="E434" s="8"/>
      <c r="F434" s="3"/>
      <c r="G434" s="3" t="str">
        <f t="shared" si="8"/>
        <v/>
      </c>
    </row>
    <row r="435" spans="1:7" ht="20.100000000000001" customHeight="1">
      <c r="A435" s="5"/>
      <c r="B435" s="1"/>
      <c r="E435" s="8"/>
      <c r="F435" s="3"/>
      <c r="G435" s="3" t="str">
        <f t="shared" si="8"/>
        <v/>
      </c>
    </row>
    <row r="436" spans="1:7" ht="20.100000000000001" customHeight="1">
      <c r="A436" s="5"/>
      <c r="B436" s="1"/>
      <c r="E436" s="8"/>
      <c r="F436" s="3"/>
      <c r="G436" s="3" t="str">
        <f t="shared" si="8"/>
        <v/>
      </c>
    </row>
    <row r="437" spans="1:7" ht="20.100000000000001" customHeight="1">
      <c r="A437" s="5"/>
      <c r="B437" s="1"/>
      <c r="E437" s="8"/>
      <c r="F437" s="3"/>
      <c r="G437" s="3" t="str">
        <f t="shared" si="8"/>
        <v/>
      </c>
    </row>
    <row r="438" spans="1:7" ht="20.100000000000001" customHeight="1">
      <c r="A438" s="5"/>
      <c r="B438" s="1"/>
      <c r="E438" s="8"/>
      <c r="F438" s="3"/>
      <c r="G438" s="3" t="str">
        <f t="shared" si="8"/>
        <v/>
      </c>
    </row>
    <row r="439" spans="1:7" ht="20.100000000000001" customHeight="1">
      <c r="A439" s="5"/>
      <c r="B439" s="1"/>
      <c r="E439" s="8"/>
      <c r="F439" s="3"/>
      <c r="G439" s="3" t="str">
        <f t="shared" si="8"/>
        <v/>
      </c>
    </row>
    <row r="440" spans="1:7" ht="20.100000000000001" customHeight="1">
      <c r="A440" s="5"/>
      <c r="B440" s="1"/>
      <c r="E440" s="8"/>
      <c r="F440" s="3"/>
      <c r="G440" s="3" t="str">
        <f t="shared" si="8"/>
        <v/>
      </c>
    </row>
    <row r="441" spans="1:7" ht="20.100000000000001" customHeight="1">
      <c r="A441" s="5"/>
      <c r="B441" s="1"/>
      <c r="E441" s="8"/>
      <c r="F441" s="3"/>
      <c r="G441" s="3" t="str">
        <f t="shared" si="8"/>
        <v/>
      </c>
    </row>
    <row r="442" spans="1:7" ht="20.100000000000001" customHeight="1">
      <c r="A442" s="5"/>
      <c r="B442" s="1"/>
      <c r="E442" s="8"/>
      <c r="F442" s="3"/>
      <c r="G442" s="3" t="str">
        <f t="shared" si="8"/>
        <v/>
      </c>
    </row>
    <row r="443" spans="1:7" ht="20.100000000000001" customHeight="1">
      <c r="A443" s="5"/>
      <c r="B443" s="1"/>
      <c r="E443" s="8"/>
      <c r="F443" s="3"/>
      <c r="G443" s="3" t="str">
        <f t="shared" si="8"/>
        <v/>
      </c>
    </row>
    <row r="444" spans="1:7" ht="20.100000000000001" customHeight="1">
      <c r="A444" s="5"/>
      <c r="B444" s="1"/>
      <c r="E444" s="8"/>
      <c r="F444" s="3"/>
      <c r="G444" s="3" t="str">
        <f t="shared" si="8"/>
        <v/>
      </c>
    </row>
    <row r="445" spans="1:7" ht="20.100000000000001" customHeight="1">
      <c r="A445" s="5"/>
      <c r="B445" s="1"/>
      <c r="E445" s="8"/>
      <c r="F445" s="3"/>
      <c r="G445" s="3" t="str">
        <f t="shared" si="8"/>
        <v/>
      </c>
    </row>
    <row r="446" spans="1:7" ht="20.100000000000001" customHeight="1">
      <c r="A446" s="5"/>
      <c r="B446" s="1"/>
      <c r="E446" s="8"/>
      <c r="F446" s="3"/>
      <c r="G446" s="3" t="str">
        <f t="shared" si="8"/>
        <v/>
      </c>
    </row>
    <row r="447" spans="1:7" ht="20.100000000000001" customHeight="1">
      <c r="A447" s="5"/>
      <c r="B447" s="1"/>
      <c r="E447" s="8"/>
      <c r="F447" s="3"/>
      <c r="G447" s="3" t="str">
        <f t="shared" si="8"/>
        <v/>
      </c>
    </row>
    <row r="448" spans="1:7" ht="20.100000000000001" customHeight="1">
      <c r="A448" s="5"/>
      <c r="B448" s="1"/>
      <c r="E448" s="8"/>
      <c r="F448" s="3"/>
      <c r="G448" s="3" t="str">
        <f t="shared" si="8"/>
        <v/>
      </c>
    </row>
    <row r="449" spans="1:7" ht="20.100000000000001" customHeight="1">
      <c r="A449" s="5"/>
      <c r="B449" s="1"/>
      <c r="E449" s="8"/>
      <c r="F449" s="3"/>
      <c r="G449" s="3" t="str">
        <f t="shared" si="8"/>
        <v/>
      </c>
    </row>
    <row r="450" spans="1:7" ht="20.100000000000001" customHeight="1">
      <c r="A450" s="5"/>
      <c r="B450" s="1"/>
      <c r="E450" s="8"/>
      <c r="F450" s="3"/>
      <c r="G450" s="3" t="str">
        <f t="shared" si="8"/>
        <v/>
      </c>
    </row>
    <row r="451" spans="1:7" ht="20.100000000000001" customHeight="1">
      <c r="A451" s="5"/>
      <c r="B451" s="1"/>
      <c r="E451" s="8"/>
      <c r="F451" s="3"/>
      <c r="G451" s="3" t="str">
        <f t="shared" si="8"/>
        <v/>
      </c>
    </row>
    <row r="452" spans="1:7" ht="20.100000000000001" customHeight="1">
      <c r="A452" s="5"/>
      <c r="B452" s="1"/>
      <c r="E452" s="8"/>
      <c r="F452" s="3"/>
      <c r="G452" s="3" t="str">
        <f t="shared" si="8"/>
        <v/>
      </c>
    </row>
    <row r="453" spans="1:7" ht="20.100000000000001" customHeight="1">
      <c r="A453" s="5"/>
      <c r="B453" s="1"/>
      <c r="E453" s="8"/>
      <c r="F453" s="3"/>
      <c r="G453" s="3" t="str">
        <f t="shared" si="8"/>
        <v/>
      </c>
    </row>
    <row r="454" spans="1:7" ht="20.100000000000001" customHeight="1">
      <c r="A454" s="5"/>
      <c r="B454" s="1"/>
      <c r="E454" s="8"/>
      <c r="F454" s="3"/>
      <c r="G454" s="3" t="str">
        <f t="shared" si="8"/>
        <v/>
      </c>
    </row>
    <row r="455" spans="1:7" ht="20.100000000000001" customHeight="1">
      <c r="A455" s="5"/>
      <c r="B455" s="1"/>
      <c r="E455" s="8"/>
      <c r="F455" s="3"/>
      <c r="G455" s="3" t="str">
        <f t="shared" si="8"/>
        <v/>
      </c>
    </row>
    <row r="456" spans="1:7" ht="20.100000000000001" customHeight="1">
      <c r="A456" s="5"/>
      <c r="B456" s="1"/>
      <c r="E456" s="8"/>
      <c r="F456" s="3"/>
      <c r="G456" s="3" t="str">
        <f t="shared" si="8"/>
        <v/>
      </c>
    </row>
    <row r="457" spans="1:7" ht="20.100000000000001" customHeight="1">
      <c r="A457" s="5"/>
      <c r="B457" s="1"/>
      <c r="E457" s="8"/>
      <c r="F457" s="3"/>
      <c r="G457" s="3" t="str">
        <f t="shared" si="8"/>
        <v/>
      </c>
    </row>
    <row r="458" spans="1:7" ht="20.100000000000001" customHeight="1">
      <c r="A458" s="5"/>
      <c r="B458" s="1"/>
      <c r="E458" s="8"/>
      <c r="F458" s="3"/>
      <c r="G458" s="3" t="str">
        <f t="shared" si="8"/>
        <v/>
      </c>
    </row>
    <row r="459" spans="1:7" ht="20.100000000000001" customHeight="1">
      <c r="A459" s="5"/>
      <c r="B459" s="1"/>
      <c r="E459" s="8"/>
      <c r="F459" s="3"/>
      <c r="G459" s="3" t="str">
        <f t="shared" si="8"/>
        <v/>
      </c>
    </row>
    <row r="460" spans="1:7" ht="20.100000000000001" customHeight="1">
      <c r="A460" s="5"/>
      <c r="B460" s="1"/>
      <c r="E460" s="8"/>
      <c r="F460" s="3"/>
      <c r="G460" s="3" t="str">
        <f t="shared" si="8"/>
        <v/>
      </c>
    </row>
    <row r="461" spans="1:7" ht="20.100000000000001" customHeight="1">
      <c r="A461" s="5"/>
      <c r="B461" s="1"/>
      <c r="E461" s="8"/>
      <c r="F461" s="3"/>
      <c r="G461" s="3" t="str">
        <f t="shared" si="8"/>
        <v/>
      </c>
    </row>
  </sheetData>
  <phoneticPr fontId="5" type="noConversion"/>
  <conditionalFormatting sqref="C1">
    <cfRule type="duplicateValues" dxfId="4" priority="1"/>
  </conditionalFormatting>
  <dataValidations count="1">
    <dataValidation type="list" sqref="D4:D461" xr:uid="{00000000-0002-0000-0000-000000000000}">
      <formula1>"Entrada,Saída"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showGridLines="0" tabSelected="1" zoomScale="80" zoomScaleNormal="80" workbookViewId="0">
      <pane ySplit="3" topLeftCell="A4" activePane="bottomLeft" state="frozen"/>
      <selection pane="bottomLeft" activeCell="G9" sqref="G8:G9"/>
    </sheetView>
  </sheetViews>
  <sheetFormatPr defaultRowHeight="14.25"/>
  <cols>
    <col min="1" max="1" width="44.125" customWidth="1"/>
    <col min="2" max="2" width="17.25" customWidth="1"/>
    <col min="3" max="3" width="14.625" bestFit="1" customWidth="1"/>
    <col min="4" max="4" width="13.125" customWidth="1"/>
    <col min="5" max="5" width="17" customWidth="1"/>
    <col min="6" max="6" width="15.25" customWidth="1"/>
    <col min="7" max="7" width="22" customWidth="1"/>
  </cols>
  <sheetData>
    <row r="1" spans="1:7" ht="34.5" customHeight="1">
      <c r="B1" s="12" t="s">
        <v>56</v>
      </c>
      <c r="C1" s="10"/>
    </row>
    <row r="2" spans="1:7" ht="21" customHeight="1">
      <c r="B2" s="10" t="s">
        <v>57</v>
      </c>
      <c r="C2" s="10"/>
      <c r="F2" s="6">
        <f>SUM(F4:F103)</f>
        <v>89309.690083486392</v>
      </c>
      <c r="G2" s="6"/>
    </row>
    <row r="3" spans="1:7" ht="45" customHeight="1">
      <c r="A3" s="13" t="s">
        <v>55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spans="1:7" ht="20.100000000000001" customHeight="1">
      <c r="A4" s="11" t="s">
        <v>36</v>
      </c>
      <c r="B4" s="2">
        <f>IF(A4="","",SUMIFS(Movimentações!$E$4:$E$461,Movimentações!$C$4:$C$461,A4,Movimentações!$D$4:$D$461,"Entrada"))</f>
        <v>4</v>
      </c>
      <c r="C4" s="2">
        <f>IF(A4="","",SUMIFS(Movimentações!$E$4:$E$461,Movimentações!$C$4:$C$461,A4,Movimentações!$D$4:$D$461,"Saída"))</f>
        <v>3</v>
      </c>
      <c r="D4" s="2">
        <f t="shared" ref="D4:D36" si="0">IF(A4="","",B4-C4)</f>
        <v>1</v>
      </c>
      <c r="E4" s="3">
        <f>IF(A4="","",IFERROR(SUMIFS(Movimentações!$G$4:$G$461,Movimentações!$C$4:$C$461,A4,Movimentações!$D$4:$D$461,"Entrada")/B4,0))</f>
        <v>4.12</v>
      </c>
      <c r="F4" s="3">
        <f t="shared" ref="F4:F36" si="1">IF(A4="","",D4*E4)</f>
        <v>4.12</v>
      </c>
    </row>
    <row r="5" spans="1:7" ht="20.100000000000001" customHeight="1">
      <c r="A5" s="11" t="s">
        <v>46</v>
      </c>
      <c r="B5" s="2">
        <f>IF(A5="","",SUMIFS(Movimentações!$E$4:$E$461,Movimentações!$C$4:$C$461,A5,Movimentações!$D$4:$D$461,"Entrada"))</f>
        <v>750</v>
      </c>
      <c r="C5" s="2">
        <f>IF(A5="","",SUMIFS(Movimentações!$E$4:$E$461,Movimentações!$C$4:$C$461,A5,Movimentações!$D$4:$D$461,"Saída"))</f>
        <v>300</v>
      </c>
      <c r="D5" s="2">
        <f t="shared" si="0"/>
        <v>450</v>
      </c>
      <c r="E5" s="3">
        <f>IF(A5="","",IFERROR(SUMIFS(Movimentações!$G$4:$G$461,Movimentações!$C$4:$C$461,A5,Movimentações!$D$4:$D$461,"Entrada")/B5,0))</f>
        <v>6.45</v>
      </c>
      <c r="F5" s="3">
        <f>IF(A5="","",D5*E5)</f>
        <v>2902.5</v>
      </c>
    </row>
    <row r="6" spans="1:7" ht="20.100000000000001" customHeight="1">
      <c r="A6" s="11" t="s">
        <v>22</v>
      </c>
      <c r="B6" s="2">
        <f>IF(A6="","",SUMIFS(Movimentações!$E$4:$E$461,Movimentações!$C$4:$C$461,A6,Movimentações!$D$4:$D$461,"Entrada"))</f>
        <v>65</v>
      </c>
      <c r="C6" s="2">
        <f>IF(A6="","",SUMIFS(Movimentações!$E$4:$E$461,Movimentações!$C$4:$C$461,A6,Movimentações!$D$4:$D$461,"Saída"))</f>
        <v>22</v>
      </c>
      <c r="D6" s="2">
        <f t="shared" si="0"/>
        <v>43</v>
      </c>
      <c r="E6" s="3">
        <f>IF(A6="","",IFERROR(SUMIFS(Movimentações!$G$4:$G$461,Movimentações!$C$4:$C$461,A6,Movimentações!$D$4:$D$461,"Entrada")/B6,0))</f>
        <v>0.88</v>
      </c>
      <c r="F6" s="3">
        <f t="shared" si="1"/>
        <v>37.840000000000003</v>
      </c>
    </row>
    <row r="7" spans="1:7" ht="20.100000000000001" customHeight="1">
      <c r="A7" s="11" t="s">
        <v>44</v>
      </c>
      <c r="B7" s="2">
        <f>IF(A7="","",SUMIFS(Movimentações!$E$4:$E$461,Movimentações!$C$4:$C$461,A7,Movimentações!$D$4:$D$461,"Entrada"))</f>
        <v>80</v>
      </c>
      <c r="C7" s="2">
        <f>IF(A7="","",SUMIFS(Movimentações!$E$4:$E$461,Movimentações!$C$4:$C$461,A7,Movimentações!$D$4:$D$461,"Saída"))</f>
        <v>13</v>
      </c>
      <c r="D7" s="2">
        <f t="shared" si="0"/>
        <v>67</v>
      </c>
      <c r="E7" s="3">
        <f>IF(A7="","",IFERROR(SUMIFS(Movimentações!$G$4:$G$461,Movimentações!$C$4:$C$461,A7,Movimentações!$D$4:$D$461,"Entrada")/B7,0))</f>
        <v>50.04</v>
      </c>
      <c r="F7" s="3">
        <f t="shared" si="1"/>
        <v>3352.68</v>
      </c>
    </row>
    <row r="8" spans="1:7" ht="20.100000000000001" customHeight="1">
      <c r="A8" s="11" t="s">
        <v>35</v>
      </c>
      <c r="B8" s="2">
        <f>IF(A8="","",SUMIFS(Movimentações!$E$4:$E$461,Movimentações!$C$4:$C$461,A8,Movimentações!$D$4:$D$461,"Entrada"))</f>
        <v>3</v>
      </c>
      <c r="C8" s="2">
        <f>IF(A8="","",SUMIFS(Movimentações!$E$4:$E$461,Movimentações!$C$4:$C$461,A8,Movimentações!$D$4:$D$461,"Saída"))</f>
        <v>3</v>
      </c>
      <c r="D8" s="2">
        <f t="shared" si="0"/>
        <v>0</v>
      </c>
      <c r="E8" s="3">
        <f>IF(A8="","",IFERROR(SUMIFS(Movimentações!$G$4:$G$461,Movimentações!$C$4:$C$461,A8,Movimentações!$D$4:$D$461,"Entrada")/B8,0))</f>
        <v>2.34</v>
      </c>
      <c r="F8" s="3">
        <f t="shared" si="1"/>
        <v>0</v>
      </c>
    </row>
    <row r="9" spans="1:7" ht="20.100000000000001" customHeight="1">
      <c r="A9" s="11" t="s">
        <v>25</v>
      </c>
      <c r="B9" s="2">
        <f>IF(A9="","",SUMIFS(Movimentações!$E$4:$E$461,Movimentações!$C$4:$C$461,A9,Movimentações!$D$4:$D$461,"Entrada"))</f>
        <v>16</v>
      </c>
      <c r="C9" s="2">
        <f>IF(A9="","",SUMIFS(Movimentações!$E$4:$E$461,Movimentações!$C$4:$C$461,A9,Movimentações!$D$4:$D$461,"Saída"))</f>
        <v>7</v>
      </c>
      <c r="D9" s="2">
        <f t="shared" si="0"/>
        <v>9</v>
      </c>
      <c r="E9" s="3">
        <f>IF(A9="","",IFERROR(SUMIFS(Movimentações!$G$4:$G$461,Movimentações!$C$4:$C$461,A9,Movimentações!$D$4:$D$461,"Entrada")/B9,0))</f>
        <v>2.3418749999999999</v>
      </c>
      <c r="F9" s="3">
        <f t="shared" si="1"/>
        <v>21.076875000000001</v>
      </c>
    </row>
    <row r="10" spans="1:7" ht="20.100000000000001" customHeight="1">
      <c r="A10" s="11" t="s">
        <v>24</v>
      </c>
      <c r="B10" s="2">
        <f>IF(A10="","",SUMIFS(Movimentações!$E$4:$E$461,Movimentações!$C$4:$C$461,A10,Movimentações!$D$4:$D$461,"Entrada"))</f>
        <v>2</v>
      </c>
      <c r="C10" s="2">
        <f>IF(A10="","",SUMIFS(Movimentações!$E$4:$E$461,Movimentações!$C$4:$C$461,A10,Movimentações!$D$4:$D$461,"Saída"))</f>
        <v>2</v>
      </c>
      <c r="D10" s="2">
        <f t="shared" si="0"/>
        <v>0</v>
      </c>
      <c r="E10" s="3">
        <f>IF(A10="","",IFERROR(SUMIFS(Movimentações!$G$4:$G$461,Movimentações!$C$4:$C$461,A10,Movimentações!$D$4:$D$461,"Entrada")/B10,0))</f>
        <v>2.15</v>
      </c>
      <c r="F10" s="3">
        <f t="shared" si="1"/>
        <v>0</v>
      </c>
    </row>
    <row r="11" spans="1:7" ht="20.100000000000001" customHeight="1">
      <c r="A11" s="11" t="s">
        <v>17</v>
      </c>
      <c r="B11" s="2">
        <f>IF(A11="","",SUMIFS(Movimentações!$E$4:$E$461,Movimentações!$C$4:$C$461,A11,Movimentações!$D$4:$D$461,"Entrada"))</f>
        <v>75</v>
      </c>
      <c r="C11" s="2">
        <f>IF(A11="","",SUMIFS(Movimentações!$E$4:$E$461,Movimentações!$C$4:$C$461,A11,Movimentações!$D$4:$D$461,"Saída"))</f>
        <v>27</v>
      </c>
      <c r="D11" s="2">
        <f t="shared" si="0"/>
        <v>48</v>
      </c>
      <c r="E11" s="3">
        <f>IF(A11="","",IFERROR(SUMIFS(Movimentações!$G$4:$G$461,Movimentações!$C$4:$C$461,A11,Movimentações!$D$4:$D$461,"Entrada")/B11,0))</f>
        <v>5.2366666666666664</v>
      </c>
      <c r="F11" s="3">
        <f t="shared" si="1"/>
        <v>251.35999999999999</v>
      </c>
    </row>
    <row r="12" spans="1:7" ht="20.100000000000001" customHeight="1">
      <c r="A12" s="11" t="s">
        <v>15</v>
      </c>
      <c r="B12" s="2">
        <f>IF(A12="","",SUMIFS(Movimentações!$E$4:$E$461,Movimentações!$C$4:$C$461,A12,Movimentações!$D$4:$D$461,"Entrada"))</f>
        <v>10</v>
      </c>
      <c r="C12" s="2">
        <f>IF(A12="","",SUMIFS(Movimentações!$E$4:$E$461,Movimentações!$C$4:$C$461,A12,Movimentações!$D$4:$D$461,"Saída"))</f>
        <v>3</v>
      </c>
      <c r="D12" s="2">
        <f t="shared" si="0"/>
        <v>7</v>
      </c>
      <c r="E12" s="3">
        <f>IF(A12="","",IFERROR(SUMIFS(Movimentações!$G$4:$G$461,Movimentações!$C$4:$C$461,A12,Movimentações!$D$4:$D$461,"Entrada")/B12,0))</f>
        <v>2.42</v>
      </c>
      <c r="F12" s="3">
        <f t="shared" si="1"/>
        <v>16.939999999999998</v>
      </c>
    </row>
    <row r="13" spans="1:7" ht="20.100000000000001" customHeight="1">
      <c r="A13" s="11" t="s">
        <v>45</v>
      </c>
      <c r="B13" s="2">
        <f>IF(A13="","",SUMIFS(Movimentações!$E$4:$E$461,Movimentações!$C$4:$C$461,A13,Movimentações!$D$4:$D$461,"Entrada"))</f>
        <v>750</v>
      </c>
      <c r="C13" s="2">
        <f>IF(A13="","",SUMIFS(Movimentações!$E$4:$E$461,Movimentações!$C$4:$C$461,A13,Movimentações!$D$4:$D$461,"Saída"))</f>
        <v>50</v>
      </c>
      <c r="D13" s="2">
        <f t="shared" si="0"/>
        <v>700</v>
      </c>
      <c r="E13" s="3">
        <f>IF(A13="","",IFERROR(SUMIFS(Movimentações!$G$4:$G$461,Movimentações!$C$4:$C$461,A13,Movimentações!$D$4:$D$461,"Entrada")/B13,0))</f>
        <v>16.68</v>
      </c>
      <c r="F13" s="3">
        <f t="shared" si="1"/>
        <v>11676</v>
      </c>
    </row>
    <row r="14" spans="1:7" ht="20.100000000000001" customHeight="1">
      <c r="A14" s="11" t="s">
        <v>19</v>
      </c>
      <c r="B14" s="2">
        <f>IF(A14="","",SUMIFS(Movimentações!$E$4:$E$461,Movimentações!$C$4:$C$461,A14,Movimentações!$D$4:$D$461,"Entrada"))</f>
        <v>20</v>
      </c>
      <c r="C14" s="2">
        <f>IF(A14="","",SUMIFS(Movimentações!$E$4:$E$461,Movimentações!$C$4:$C$461,A14,Movimentações!$D$4:$D$461,"Saída"))</f>
        <v>20</v>
      </c>
      <c r="D14" s="2">
        <f t="shared" si="0"/>
        <v>0</v>
      </c>
      <c r="E14" s="3">
        <f>IF(A14="","",IFERROR(SUMIFS(Movimentações!$G$4:$G$461,Movimentações!$C$4:$C$461,A14,Movimentações!$D$4:$D$461,"Entrada")/B14,0))</f>
        <v>0.48</v>
      </c>
      <c r="F14" s="3">
        <f t="shared" si="1"/>
        <v>0</v>
      </c>
    </row>
    <row r="15" spans="1:7" ht="20.100000000000001" customHeight="1">
      <c r="A15" s="11" t="s">
        <v>16</v>
      </c>
      <c r="B15" s="2">
        <f>IF(A15="","",SUMIFS(Movimentações!$E$4:$E$461,Movimentações!$C$4:$C$461,A15,Movimentações!$D$4:$D$461,"Entrada"))</f>
        <v>10</v>
      </c>
      <c r="C15" s="2">
        <f>IF(A15="","",SUMIFS(Movimentações!$E$4:$E$461,Movimentações!$C$4:$C$461,A15,Movimentações!$D$4:$D$461,"Saída"))</f>
        <v>5</v>
      </c>
      <c r="D15" s="2">
        <f t="shared" si="0"/>
        <v>5</v>
      </c>
      <c r="E15" s="3">
        <f>IF(A15="","",IFERROR(SUMIFS(Movimentações!$G$4:$G$461,Movimentações!$C$4:$C$461,A15,Movimentações!$D$4:$D$461,"Entrada")/B15,0))</f>
        <v>0.95</v>
      </c>
      <c r="F15" s="3">
        <f t="shared" si="1"/>
        <v>4.75</v>
      </c>
    </row>
    <row r="16" spans="1:7" ht="20.100000000000001" customHeight="1">
      <c r="A16" s="11" t="s">
        <v>37</v>
      </c>
      <c r="B16" s="2">
        <f>IF(A16="","",SUMIFS(Movimentações!$E$4:$E$461,Movimentações!$C$4:$C$461,A16,Movimentações!$D$4:$D$461,"Entrada"))</f>
        <v>1</v>
      </c>
      <c r="C16" s="2">
        <f>IF(A16="","",SUMIFS(Movimentações!$E$4:$E$461,Movimentações!$C$4:$C$461,A16,Movimentações!$D$4:$D$461,"Saída"))</f>
        <v>1</v>
      </c>
      <c r="D16" s="2">
        <f t="shared" si="0"/>
        <v>0</v>
      </c>
      <c r="E16" s="3">
        <f>IF(A16="","",IFERROR(SUMIFS(Movimentações!$G$4:$G$461,Movimentações!$C$4:$C$461,A16,Movimentações!$D$4:$D$461,"Entrada")/B16,0))</f>
        <v>1.4</v>
      </c>
      <c r="F16" s="3">
        <f t="shared" si="1"/>
        <v>0</v>
      </c>
    </row>
    <row r="17" spans="1:6" ht="20.100000000000001" customHeight="1">
      <c r="A17" s="11" t="s">
        <v>38</v>
      </c>
      <c r="B17" s="2">
        <f>IF(A17="","",SUMIFS(Movimentações!$E$4:$E$461,Movimentações!$C$4:$C$461,A17,Movimentações!$D$4:$D$461,"Entrada"))</f>
        <v>12</v>
      </c>
      <c r="C17" s="2">
        <f>IF(A17="","",SUMIFS(Movimentações!$E$4:$E$461,Movimentações!$C$4:$C$461,A17,Movimentações!$D$4:$D$461,"Saída"))</f>
        <v>5</v>
      </c>
      <c r="D17" s="2">
        <f t="shared" si="0"/>
        <v>7</v>
      </c>
      <c r="E17" s="3">
        <f>IF(A17="","",IFERROR(SUMIFS(Movimentações!$G$4:$G$461,Movimentações!$C$4:$C$461,A17,Movimentações!$D$4:$D$461,"Entrada")/B17,0))</f>
        <v>1.72</v>
      </c>
      <c r="F17" s="3">
        <f t="shared" si="1"/>
        <v>12.04</v>
      </c>
    </row>
    <row r="18" spans="1:6" ht="20.100000000000001" customHeight="1">
      <c r="A18" s="11" t="s">
        <v>32</v>
      </c>
      <c r="B18" s="2">
        <f>IF(A18="","",SUMIFS(Movimentações!$E$4:$E$461,Movimentações!$C$4:$C$461,A18,Movimentações!$D$4:$D$461,"Entrada"))</f>
        <v>11</v>
      </c>
      <c r="C18" s="2">
        <f>IF(A18="","",SUMIFS(Movimentações!$E$4:$E$461,Movimentações!$C$4:$C$461,A18,Movimentações!$D$4:$D$461,"Saída"))</f>
        <v>6</v>
      </c>
      <c r="D18" s="2">
        <f t="shared" si="0"/>
        <v>5</v>
      </c>
      <c r="E18" s="3">
        <f>IF(A18="","",IFERROR(SUMIFS(Movimentações!$G$4:$G$461,Movimentações!$C$4:$C$461,A18,Movimentações!$D$4:$D$461,"Entrada")/B18,0))</f>
        <v>10.909090909090908</v>
      </c>
      <c r="F18" s="3">
        <f t="shared" si="1"/>
        <v>54.54545454545454</v>
      </c>
    </row>
    <row r="19" spans="1:6" ht="20.100000000000001" customHeight="1">
      <c r="A19" s="11" t="s">
        <v>27</v>
      </c>
      <c r="B19" s="2">
        <f>IF(A19="","",SUMIFS(Movimentações!$E$4:$E$461,Movimentações!$C$4:$C$461,A19,Movimentações!$D$4:$D$461,"Entrada"))</f>
        <v>2</v>
      </c>
      <c r="C19" s="2">
        <f>IF(A19="","",SUMIFS(Movimentações!$E$4:$E$461,Movimentações!$C$4:$C$461,A19,Movimentações!$D$4:$D$461,"Saída"))</f>
        <v>2</v>
      </c>
      <c r="D19" s="2">
        <f t="shared" si="0"/>
        <v>0</v>
      </c>
      <c r="E19" s="3">
        <f>IF(A19="","",IFERROR(SUMIFS(Movimentações!$G$4:$G$461,Movimentações!$C$4:$C$461,A19,Movimentações!$D$4:$D$461,"Entrada")/B19,0))</f>
        <v>7.26</v>
      </c>
      <c r="F19" s="3">
        <f t="shared" si="1"/>
        <v>0</v>
      </c>
    </row>
    <row r="20" spans="1:6" ht="20.100000000000001" customHeight="1">
      <c r="A20" s="11" t="s">
        <v>26</v>
      </c>
      <c r="B20" s="2">
        <f>IF(A20="","",SUMIFS(Movimentações!$E$4:$E$461,Movimentações!$C$4:$C$461,A20,Movimentações!$D$4:$D$461,"Entrada"))</f>
        <v>2</v>
      </c>
      <c r="C20" s="2">
        <f>IF(A20="","",SUMIFS(Movimentações!$E$4:$E$461,Movimentações!$C$4:$C$461,A20,Movimentações!$D$4:$D$461,"Saída"))</f>
        <v>2</v>
      </c>
      <c r="D20" s="2">
        <f t="shared" si="0"/>
        <v>0</v>
      </c>
      <c r="E20" s="3">
        <f>IF(A20="","",IFERROR(SUMIFS(Movimentações!$G$4:$G$461,Movimentações!$C$4:$C$461,A20,Movimentações!$D$4:$D$461,"Entrada")/B20,0))</f>
        <v>25.41</v>
      </c>
      <c r="F20" s="3">
        <f t="shared" si="1"/>
        <v>0</v>
      </c>
    </row>
    <row r="21" spans="1:6" ht="20.100000000000001" customHeight="1">
      <c r="A21" s="11" t="s">
        <v>33</v>
      </c>
      <c r="B21" s="2">
        <f>IF(A21="","",SUMIFS(Movimentações!$E$4:$E$461,Movimentações!$C$4:$C$461,A21,Movimentações!$D$4:$D$461,"Entrada"))</f>
        <v>10</v>
      </c>
      <c r="C21" s="2">
        <f>IF(A21="","",SUMIFS(Movimentações!$E$4:$E$461,Movimentações!$C$4:$C$461,A21,Movimentações!$D$4:$D$461,"Saída"))</f>
        <v>7</v>
      </c>
      <c r="D21" s="2">
        <f t="shared" si="0"/>
        <v>3</v>
      </c>
      <c r="E21" s="3">
        <f>IF(A21="","",IFERROR(SUMIFS(Movimentações!$G$4:$G$461,Movimentações!$C$4:$C$461,A21,Movimentações!$D$4:$D$461,"Entrada")/B21,0))</f>
        <v>14.65</v>
      </c>
      <c r="F21" s="3">
        <f t="shared" si="1"/>
        <v>43.95</v>
      </c>
    </row>
    <row r="22" spans="1:6" ht="20.100000000000001" customHeight="1">
      <c r="A22" s="11" t="s">
        <v>28</v>
      </c>
      <c r="B22" s="2">
        <f>IF(A22="","",SUMIFS(Movimentações!$E$4:$E$461,Movimentações!$C$4:$C$461,A22,Movimentações!$D$4:$D$461,"Entrada"))</f>
        <v>5</v>
      </c>
      <c r="C22" s="2">
        <f>IF(A22="","",SUMIFS(Movimentações!$E$4:$E$461,Movimentações!$C$4:$C$461,A22,Movimentações!$D$4:$D$461,"Saída"))</f>
        <v>3</v>
      </c>
      <c r="D22" s="2">
        <f t="shared" si="0"/>
        <v>2</v>
      </c>
      <c r="E22" s="3">
        <f>IF(A22="","",IFERROR(SUMIFS(Movimentações!$G$4:$G$461,Movimentações!$C$4:$C$461,A22,Movimentações!$D$4:$D$461,"Entrada")/B22,0))</f>
        <v>10.071999999999999</v>
      </c>
      <c r="F22" s="3">
        <f t="shared" si="1"/>
        <v>20.143999999999998</v>
      </c>
    </row>
    <row r="23" spans="1:6" ht="20.100000000000001" customHeight="1">
      <c r="A23" s="11" t="s">
        <v>31</v>
      </c>
      <c r="B23" s="2">
        <f>IF(A23="","",SUMIFS(Movimentações!$E$4:$E$461,Movimentações!$C$4:$C$461,A23,Movimentações!$D$4:$D$461,"Entrada"))</f>
        <v>48</v>
      </c>
      <c r="C23" s="2">
        <f>IF(A23="","",SUMIFS(Movimentações!$E$4:$E$461,Movimentações!$C$4:$C$461,A23,Movimentações!$D$4:$D$461,"Saída"))</f>
        <v>0</v>
      </c>
      <c r="D23" s="2">
        <f t="shared" si="0"/>
        <v>48</v>
      </c>
      <c r="E23" s="3">
        <f>IF(A23="","",IFERROR(SUMIFS(Movimentações!$G$4:$G$461,Movimentações!$C$4:$C$461,A23,Movimentações!$D$4:$D$461,"Entrada")/B23,0))</f>
        <v>2.0699999999999998</v>
      </c>
      <c r="F23" s="3">
        <f t="shared" si="1"/>
        <v>99.359999999999985</v>
      </c>
    </row>
    <row r="24" spans="1:6" ht="20.100000000000001" customHeight="1">
      <c r="A24" s="11" t="s">
        <v>43</v>
      </c>
      <c r="B24" s="2">
        <f>IF(A24="","",SUMIFS(Movimentações!$E$4:$E$461,Movimentações!$C$4:$C$461,A24,Movimentações!$D$4:$D$461,"Entrada"))</f>
        <v>1840</v>
      </c>
      <c r="C24" s="2">
        <f>IF(A24="","",SUMIFS(Movimentações!$E$4:$E$461,Movimentações!$C$4:$C$461,A24,Movimentações!$D$4:$D$461,"Saída"))</f>
        <v>720</v>
      </c>
      <c r="D24" s="2">
        <f t="shared" si="0"/>
        <v>1120</v>
      </c>
      <c r="E24" s="3">
        <f>IF(A24="","",IFERROR(SUMIFS(Movimentações!$G$4:$G$461,Movimentações!$C$4:$C$461,A24,Movimentações!$D$4:$D$461,"Entrada")/B24,0))</f>
        <v>22.67217391304348</v>
      </c>
      <c r="F24" s="3">
        <f t="shared" si="1"/>
        <v>25392.834782608697</v>
      </c>
    </row>
    <row r="25" spans="1:6" ht="20.100000000000001" customHeight="1">
      <c r="A25" s="11" t="s">
        <v>18</v>
      </c>
      <c r="B25" s="2">
        <f>IF(A25="","",SUMIFS(Movimentações!$E$4:$E$461,Movimentações!$C$4:$C$461,A25,Movimentações!$D$4:$D$461,"Entrada"))</f>
        <v>10</v>
      </c>
      <c r="C25" s="2">
        <f>IF(A25="","",SUMIFS(Movimentações!$E$4:$E$461,Movimentações!$C$4:$C$461,A25,Movimentações!$D$4:$D$461,"Saída"))</f>
        <v>5</v>
      </c>
      <c r="D25" s="2">
        <f t="shared" si="0"/>
        <v>5</v>
      </c>
      <c r="E25" s="3">
        <f>IF(A25="","",IFERROR(SUMIFS(Movimentações!$G$4:$G$461,Movimentações!$C$4:$C$461,A25,Movimentações!$D$4:$D$461,"Entrada")/B25,0))</f>
        <v>2.8250000000000002</v>
      </c>
      <c r="F25" s="3">
        <f t="shared" si="1"/>
        <v>14.125</v>
      </c>
    </row>
    <row r="26" spans="1:6" ht="20.100000000000001" customHeight="1">
      <c r="A26" s="11" t="s">
        <v>21</v>
      </c>
      <c r="B26" s="2">
        <f>IF(A26="","",SUMIFS(Movimentações!$E$4:$E$461,Movimentações!$C$4:$C$461,A26,Movimentações!$D$4:$D$461,"Entrada"))</f>
        <v>26</v>
      </c>
      <c r="C26" s="2">
        <f>IF(A26="","",SUMIFS(Movimentações!$E$4:$E$461,Movimentações!$C$4:$C$461,A26,Movimentações!$D$4:$D$461,"Saída"))</f>
        <v>8</v>
      </c>
      <c r="D26" s="2">
        <f t="shared" si="0"/>
        <v>18</v>
      </c>
      <c r="E26" s="3">
        <f>IF(A26="","",IFERROR(SUMIFS(Movimentações!$G$4:$G$461,Movimentações!$C$4:$C$461,A26,Movimentações!$D$4:$D$461,"Entrada")/B26,0))</f>
        <v>26.474615384615387</v>
      </c>
      <c r="F26" s="3">
        <f t="shared" si="1"/>
        <v>476.54307692307697</v>
      </c>
    </row>
    <row r="27" spans="1:6" ht="20.100000000000001" customHeight="1">
      <c r="A27" s="11" t="s">
        <v>20</v>
      </c>
      <c r="B27" s="2">
        <f>IF(A27="","",SUMIFS(Movimentações!$E$4:$E$461,Movimentações!$C$4:$C$461,A27,Movimentações!$D$4:$D$461,"Entrada"))</f>
        <v>2</v>
      </c>
      <c r="C27" s="2">
        <f>IF(A27="","",SUMIFS(Movimentações!$E$4:$E$461,Movimentações!$C$4:$C$461,A27,Movimentações!$D$4:$D$461,"Saída"))</f>
        <v>2</v>
      </c>
      <c r="D27" s="2">
        <f t="shared" si="0"/>
        <v>0</v>
      </c>
      <c r="E27" s="3">
        <f>IF(A27="","",IFERROR(SUMIFS(Movimentações!$G$4:$G$461,Movimentações!$C$4:$C$461,A27,Movimentações!$D$4:$D$461,"Entrada")/B27,0))</f>
        <v>53.91</v>
      </c>
      <c r="F27" s="3">
        <f t="shared" si="1"/>
        <v>0</v>
      </c>
    </row>
    <row r="28" spans="1:6" ht="20.100000000000001" customHeight="1">
      <c r="A28" s="11" t="s">
        <v>23</v>
      </c>
      <c r="B28" s="2">
        <f>IF(A28="","",SUMIFS(Movimentações!$E$4:$E$461,Movimentações!$C$4:$C$461,A28,Movimentações!$D$4:$D$461,"Entrada"))</f>
        <v>4</v>
      </c>
      <c r="C28" s="2">
        <f>IF(A28="","",SUMIFS(Movimentações!$E$4:$E$461,Movimentações!$C$4:$C$461,A28,Movimentações!$D$4:$D$461,"Saída"))</f>
        <v>4</v>
      </c>
      <c r="D28" s="2">
        <f t="shared" si="0"/>
        <v>0</v>
      </c>
      <c r="E28" s="3">
        <f>IF(A28="","",IFERROR(SUMIFS(Movimentações!$G$4:$G$461,Movimentações!$C$4:$C$461,A28,Movimentações!$D$4:$D$461,"Entrada")/B28,0))</f>
        <v>1.1100000000000001</v>
      </c>
      <c r="F28" s="3">
        <f t="shared" si="1"/>
        <v>0</v>
      </c>
    </row>
    <row r="29" spans="1:6" ht="20.100000000000001" customHeight="1">
      <c r="A29" s="11" t="s">
        <v>11</v>
      </c>
      <c r="B29" s="2">
        <f>IF(A29="","",SUMIFS(Movimentações!$E$4:$E$461,Movimentações!$C$4:$C$461,A29,Movimentações!$D$4:$D$461,"Entrada"))</f>
        <v>30</v>
      </c>
      <c r="C29" s="2">
        <f>IF(A29="","",SUMIFS(Movimentações!$E$4:$E$461,Movimentações!$C$4:$C$461,A29,Movimentações!$D$4:$D$461,"Saída"))</f>
        <v>17</v>
      </c>
      <c r="D29" s="2">
        <f t="shared" si="0"/>
        <v>13</v>
      </c>
      <c r="E29" s="3">
        <f>IF(A29="","",IFERROR(SUMIFS(Movimentações!$G$4:$G$461,Movimentações!$C$4:$C$461,A29,Movimentações!$D$4:$D$461,"Entrada")/B29,0))</f>
        <v>1.4199999999999997</v>
      </c>
      <c r="F29" s="3">
        <f t="shared" si="1"/>
        <v>18.459999999999997</v>
      </c>
    </row>
    <row r="30" spans="1:6" ht="20.100000000000001" customHeight="1">
      <c r="A30" s="11" t="s">
        <v>12</v>
      </c>
      <c r="B30" s="2">
        <f>IF(A30="","",SUMIFS(Movimentações!$E$4:$E$461,Movimentações!$C$4:$C$461,A30,Movimentações!$D$4:$D$461,"Entrada"))</f>
        <v>40</v>
      </c>
      <c r="C30" s="2">
        <f>IF(A30="","",SUMIFS(Movimentações!$E$4:$E$461,Movimentações!$C$4:$C$461,A30,Movimentações!$D$4:$D$461,"Saída"))</f>
        <v>11</v>
      </c>
      <c r="D30" s="2">
        <f t="shared" si="0"/>
        <v>29</v>
      </c>
      <c r="E30" s="3">
        <f>IF(A30="","",IFERROR(SUMIFS(Movimentações!$G$4:$G$461,Movimentações!$C$4:$C$461,A30,Movimentações!$D$4:$D$461,"Entrada")/B30,0))</f>
        <v>1.5525</v>
      </c>
      <c r="F30" s="3">
        <f t="shared" si="1"/>
        <v>45.022500000000001</v>
      </c>
    </row>
    <row r="31" spans="1:6" ht="20.100000000000001" customHeight="1">
      <c r="A31" s="11" t="s">
        <v>53</v>
      </c>
      <c r="B31" s="2">
        <f>IF(A31="","",SUMIFS(Movimentações!$E$4:$E$461,Movimentações!$C$4:$C$461,A31,Movimentações!$D$4:$D$461,"Entrada"))</f>
        <v>0</v>
      </c>
      <c r="C31" s="2">
        <f>IF(A31="","",SUMIFS(Movimentações!$E$4:$E$461,Movimentações!$C$4:$C$461,A31,Movimentações!$D$4:$D$461,"Saída"))</f>
        <v>0</v>
      </c>
      <c r="D31" s="2">
        <f t="shared" si="0"/>
        <v>0</v>
      </c>
      <c r="E31" s="3">
        <f>IF(A31="","",IFERROR(SUMIFS(Movimentações!$G$4:$G$461,Movimentações!$C$4:$C$461,A31,Movimentações!$D$4:$D$461,"Entrada")/B31,0))</f>
        <v>0</v>
      </c>
      <c r="F31" s="3">
        <f t="shared" si="1"/>
        <v>0</v>
      </c>
    </row>
    <row r="32" spans="1:6" ht="20.100000000000001" customHeight="1">
      <c r="A32" s="11" t="s">
        <v>59</v>
      </c>
      <c r="B32" s="2">
        <f>IF(A32="","",SUMIFS(Movimentações!$E$4:$E$461,Movimentações!$C$4:$C$461,A32,Movimentações!$D$4:$D$461,"Entrada"))</f>
        <v>60</v>
      </c>
      <c r="C32" s="2">
        <f>IF(A32="","",SUMIFS(Movimentações!$E$4:$E$461,Movimentações!$C$4:$C$461,A32,Movimentações!$D$4:$D$461,"Saída"))</f>
        <v>52</v>
      </c>
      <c r="D32" s="2">
        <f t="shared" si="0"/>
        <v>8</v>
      </c>
      <c r="E32" s="3">
        <f>IF(A32="","",IFERROR(SUMIFS(Movimentações!$G$4:$G$461,Movimentações!$C$4:$C$461,A32,Movimentações!$D$4:$D$461,"Entrada")/B32,0))</f>
        <v>15.833399999999999</v>
      </c>
      <c r="F32" s="3">
        <f t="shared" si="1"/>
        <v>126.66719999999999</v>
      </c>
    </row>
    <row r="33" spans="1:6" ht="20.100000000000001" customHeight="1">
      <c r="A33" s="11" t="s">
        <v>144</v>
      </c>
      <c r="B33" s="2">
        <f>IF(A33="","",SUMIFS(Movimentações!$E$4:$E$461,Movimentações!$C$4:$C$461,A33,Movimentações!$D$4:$D$461,"Entrada"))</f>
        <v>180</v>
      </c>
      <c r="C33" s="2">
        <f>IF(A33="","",SUMIFS(Movimentações!$E$4:$E$461,Movimentações!$C$4:$C$461,A33,Movimentações!$D$4:$D$461,"Saída"))</f>
        <v>87</v>
      </c>
      <c r="D33" s="2">
        <f t="shared" si="0"/>
        <v>93</v>
      </c>
      <c r="E33" s="3">
        <f>IF(A33="","",IFERROR(SUMIFS(Movimentações!$G$4:$G$461,Movimentações!$C$4:$C$461,A33,Movimentações!$D$4:$D$461,"Entrada")/B33,0))</f>
        <v>15.83333</v>
      </c>
      <c r="F33" s="3">
        <f t="shared" si="1"/>
        <v>1472.4996900000001</v>
      </c>
    </row>
    <row r="34" spans="1:6" ht="20.100000000000001" customHeight="1">
      <c r="A34" s="11" t="s">
        <v>62</v>
      </c>
      <c r="B34" s="2">
        <f>IF(A34="","",SUMIFS(Movimentações!$E$4:$E$461,Movimentações!$C$4:$C$461,A34,Movimentações!$D$4:$D$461,"Entrada"))</f>
        <v>8</v>
      </c>
      <c r="C34" s="2">
        <f>IF(A34="","",SUMIFS(Movimentações!$E$4:$E$461,Movimentações!$C$4:$C$461,A34,Movimentações!$D$4:$D$461,"Saída"))</f>
        <v>0</v>
      </c>
      <c r="D34" s="2">
        <f t="shared" si="0"/>
        <v>8</v>
      </c>
      <c r="E34" s="3">
        <f>IF(A34="","",IFERROR(SUMIFS(Movimentações!$G$4:$G$461,Movimentações!$C$4:$C$461,A34,Movimentações!$D$4:$D$461,"Entrada")/B34,0))</f>
        <v>33.034999999999997</v>
      </c>
      <c r="F34" s="3">
        <f t="shared" si="1"/>
        <v>264.27999999999997</v>
      </c>
    </row>
    <row r="35" spans="1:6" ht="20.100000000000001" customHeight="1">
      <c r="A35" s="11" t="s">
        <v>63</v>
      </c>
      <c r="B35" s="2">
        <f>IF(A35="","",SUMIFS(Movimentações!$E$4:$E$461,Movimentações!$C$4:$C$461,A35,Movimentações!$D$4:$D$461,"Entrada"))</f>
        <v>9</v>
      </c>
      <c r="C35" s="2">
        <f>IF(A35="","",SUMIFS(Movimentações!$E$4:$E$461,Movimentações!$C$4:$C$461,A35,Movimentações!$D$4:$D$461,"Saída"))</f>
        <v>0</v>
      </c>
      <c r="D35" s="2">
        <f t="shared" si="0"/>
        <v>9</v>
      </c>
      <c r="E35" s="3">
        <f>IF(A35="","",IFERROR(SUMIFS(Movimentações!$G$4:$G$461,Movimentações!$C$4:$C$461,A35,Movimentações!$D$4:$D$461,"Entrada")/B35,0))</f>
        <v>33.722222222222221</v>
      </c>
      <c r="F35" s="3">
        <f t="shared" si="1"/>
        <v>303.5</v>
      </c>
    </row>
    <row r="36" spans="1:6" ht="20.100000000000001" customHeight="1">
      <c r="A36" s="11" t="s">
        <v>64</v>
      </c>
      <c r="B36" s="2">
        <f>IF(A36="","",SUMIFS(Movimentações!$E$4:$E$461,Movimentações!$C$4:$C$461,A36,Movimentações!$D$4:$D$461,"Entrada"))</f>
        <v>2</v>
      </c>
      <c r="C36" s="2">
        <f>IF(A36="","",SUMIFS(Movimentações!$E$4:$E$461,Movimentações!$C$4:$C$461,A36,Movimentações!$D$4:$D$461,"Saída"))</f>
        <v>0</v>
      </c>
      <c r="D36" s="2">
        <f t="shared" si="0"/>
        <v>2</v>
      </c>
      <c r="E36" s="3">
        <f>IF(A36="","",IFERROR(SUMIFS(Movimentações!$G$4:$G$461,Movimentações!$C$4:$C$461,A36,Movimentações!$D$4:$D$461,"Entrada")/B36,0))</f>
        <v>72.180000000000007</v>
      </c>
      <c r="F36" s="3">
        <f t="shared" si="1"/>
        <v>144.36000000000001</v>
      </c>
    </row>
    <row r="37" spans="1:6" ht="20.100000000000001" customHeight="1">
      <c r="A37" s="11" t="s">
        <v>65</v>
      </c>
      <c r="B37" s="2">
        <f>IF(A37="","",SUMIFS(Movimentações!$E$4:$E$461,Movimentações!$C$4:$C$461,A37,Movimentações!$D$4:$D$461,"Entrada"))</f>
        <v>15</v>
      </c>
      <c r="C37" s="2">
        <f>IF(A37="","",SUMIFS(Movimentações!$E$4:$E$461,Movimentações!$C$4:$C$461,A37,Movimentações!$D$4:$D$461,"Saída"))</f>
        <v>6</v>
      </c>
      <c r="D37" s="2">
        <f t="shared" ref="D37:D38" si="2">IF(A37="","",B37-C37)</f>
        <v>9</v>
      </c>
      <c r="E37" s="3">
        <f>IF(A37="","",IFERROR(SUMIFS(Movimentações!$G$4:$G$461,Movimentações!$C$4:$C$461,A37,Movimentações!$D$4:$D$461,"Entrada")/B37,0))</f>
        <v>20.123333333333335</v>
      </c>
      <c r="F37" s="3">
        <f t="shared" ref="F37:F38" si="3">IF(A37="","",D37*E37)</f>
        <v>181.11</v>
      </c>
    </row>
    <row r="38" spans="1:6" ht="20.100000000000001" customHeight="1">
      <c r="A38" s="11" t="s">
        <v>66</v>
      </c>
      <c r="B38" s="2">
        <f>IF(A38="","",SUMIFS(Movimentações!$E$4:$E$461,Movimentações!$C$4:$C$461,A38,Movimentações!$D$4:$D$461,"Entrada"))</f>
        <v>20</v>
      </c>
      <c r="C38" s="2">
        <f>IF(A38="","",SUMIFS(Movimentações!$E$4:$E$461,Movimentações!$C$4:$C$461,A38,Movimentações!$D$4:$D$461,"Saída"))</f>
        <v>9</v>
      </c>
      <c r="D38" s="2">
        <f t="shared" si="2"/>
        <v>11</v>
      </c>
      <c r="E38" s="3">
        <f>IF(A38="","",IFERROR(SUMIFS(Movimentações!$G$4:$G$461,Movimentações!$C$4:$C$461,A38,Movimentações!$D$4:$D$461,"Entrada")/B38,0))</f>
        <v>18.510000000000002</v>
      </c>
      <c r="F38" s="3">
        <f t="shared" si="3"/>
        <v>203.61</v>
      </c>
    </row>
    <row r="39" spans="1:6" ht="20.100000000000001" customHeight="1">
      <c r="A39" s="11" t="s">
        <v>67</v>
      </c>
      <c r="B39" s="2">
        <f>IF(A39="","",SUMIFS(Movimentações!$E$4:$E$461,Movimentações!$C$4:$C$461,A39,Movimentações!$D$4:$D$461,"Entrada"))</f>
        <v>5</v>
      </c>
      <c r="C39" s="2">
        <f>IF(A39="","",SUMIFS(Movimentações!$E$4:$E$461,Movimentações!$C$4:$C$461,A39,Movimentações!$D$4:$D$461,"Saída"))</f>
        <v>0</v>
      </c>
      <c r="D39" s="2">
        <f t="shared" ref="D39:D101" si="4">IF(A39="","",B39-C39)</f>
        <v>5</v>
      </c>
      <c r="E39" s="3">
        <f>IF(A39="","",IFERROR(SUMIFS(Movimentações!$G$4:$G$461,Movimentações!$C$4:$C$461,A39,Movimentações!$D$4:$D$461,"Entrada")/B39,0))</f>
        <v>52.46</v>
      </c>
      <c r="F39" s="3">
        <f t="shared" ref="F39:F101" si="5">IF(A39="","",D39*E39)</f>
        <v>262.3</v>
      </c>
    </row>
    <row r="40" spans="1:6" ht="20.100000000000001" customHeight="1">
      <c r="A40" s="11" t="s">
        <v>68</v>
      </c>
      <c r="B40" s="2">
        <f>IF(A40="","",SUMIFS(Movimentações!$E$4:$E$461,Movimentações!$C$4:$C$461,A40,Movimentações!$D$4:$D$461,"Entrada"))</f>
        <v>4</v>
      </c>
      <c r="C40" s="2">
        <f>IF(A40="","",SUMIFS(Movimentações!$E$4:$E$461,Movimentações!$C$4:$C$461,A40,Movimentações!$D$4:$D$461,"Saída"))</f>
        <v>0</v>
      </c>
      <c r="D40" s="2">
        <f t="shared" si="4"/>
        <v>4</v>
      </c>
      <c r="E40" s="3">
        <f>IF(A40="","",IFERROR(SUMIFS(Movimentações!$G$4:$G$461,Movimentações!$C$4:$C$461,A40,Movimentações!$D$4:$D$461,"Entrada")/B40,0))</f>
        <v>90.7</v>
      </c>
      <c r="F40" s="3">
        <f t="shared" si="5"/>
        <v>362.8</v>
      </c>
    </row>
    <row r="41" spans="1:6" ht="20.100000000000001" customHeight="1">
      <c r="A41" s="11" t="s">
        <v>71</v>
      </c>
      <c r="B41" s="2">
        <f>IF(A41="","",SUMIFS(Movimentações!$E$4:$E$461,Movimentações!$C$4:$C$461,A41,Movimentações!$D$4:$D$461,"Entrada"))</f>
        <v>14</v>
      </c>
      <c r="C41" s="2">
        <f>IF(A41="","",SUMIFS(Movimentações!$E$4:$E$461,Movimentações!$C$4:$C$461,A41,Movimentações!$D$4:$D$461,"Saída"))</f>
        <v>0</v>
      </c>
      <c r="D41" s="2">
        <f t="shared" si="4"/>
        <v>14</v>
      </c>
      <c r="E41" s="3">
        <f>IF(A41="","",IFERROR(SUMIFS(Movimentações!$G$4:$G$461,Movimentações!$C$4:$C$461,A41,Movimentações!$D$4:$D$461,"Entrada")/B41,0))</f>
        <v>359</v>
      </c>
      <c r="F41" s="3">
        <f t="shared" si="5"/>
        <v>5026</v>
      </c>
    </row>
    <row r="42" spans="1:6" ht="20.100000000000001" customHeight="1">
      <c r="A42" s="11" t="s">
        <v>72</v>
      </c>
      <c r="B42" s="2">
        <f>IF(A42="","",SUMIFS(Movimentações!$E$4:$E$461,Movimentações!$C$4:$C$461,A42,Movimentações!$D$4:$D$461,"Entrada"))</f>
        <v>14</v>
      </c>
      <c r="C42" s="2">
        <f>IF(A42="","",SUMIFS(Movimentações!$E$4:$E$461,Movimentações!$C$4:$C$461,A42,Movimentações!$D$4:$D$461,"Saída"))</f>
        <v>0</v>
      </c>
      <c r="D42" s="2">
        <f t="shared" si="4"/>
        <v>14</v>
      </c>
      <c r="E42" s="3">
        <f>IF(A42="","",IFERROR(SUMIFS(Movimentações!$G$4:$G$461,Movimentações!$C$4:$C$461,A42,Movimentações!$D$4:$D$461,"Entrada")/B42,0))</f>
        <v>34.99</v>
      </c>
      <c r="F42" s="3">
        <f t="shared" si="5"/>
        <v>489.86</v>
      </c>
    </row>
    <row r="43" spans="1:6" ht="20.100000000000001" customHeight="1">
      <c r="A43" s="11" t="s">
        <v>73</v>
      </c>
      <c r="B43" s="2">
        <f>IF(A43="","",SUMIFS(Movimentações!$E$4:$E$461,Movimentações!$C$4:$C$461,A43,Movimentações!$D$4:$D$461,"Entrada"))</f>
        <v>14</v>
      </c>
      <c r="C43" s="2">
        <f>IF(A43="","",SUMIFS(Movimentações!$E$4:$E$461,Movimentações!$C$4:$C$461,A43,Movimentações!$D$4:$D$461,"Saída"))</f>
        <v>0</v>
      </c>
      <c r="D43" s="2">
        <f t="shared" si="4"/>
        <v>14</v>
      </c>
      <c r="E43" s="3">
        <f>IF(A43="","",IFERROR(SUMIFS(Movimentações!$G$4:$G$461,Movimentações!$C$4:$C$461,A43,Movimentações!$D$4:$D$461,"Entrada")/B43,0))</f>
        <v>49.99</v>
      </c>
      <c r="F43" s="3">
        <f t="shared" si="5"/>
        <v>699.86</v>
      </c>
    </row>
    <row r="44" spans="1:6" ht="20.100000000000001" customHeight="1">
      <c r="A44" s="11" t="s">
        <v>74</v>
      </c>
      <c r="B44" s="2">
        <f>IF(A44="","",SUMIFS(Movimentações!$E$4:$E$461,Movimentações!$C$4:$C$461,A44,Movimentações!$D$4:$D$461,"Entrada"))</f>
        <v>4</v>
      </c>
      <c r="C44" s="2">
        <f>IF(A44="","",SUMIFS(Movimentações!$E$4:$E$461,Movimentações!$C$4:$C$461,A44,Movimentações!$D$4:$D$461,"Saída"))</f>
        <v>0</v>
      </c>
      <c r="D44" s="2">
        <f t="shared" si="4"/>
        <v>4</v>
      </c>
      <c r="E44" s="3">
        <f>IF(A44="","",IFERROR(SUMIFS(Movimentações!$G$4:$G$461,Movimentações!$C$4:$C$461,A44,Movimentações!$D$4:$D$461,"Entrada")/B44,0))</f>
        <v>92</v>
      </c>
      <c r="F44" s="3">
        <f t="shared" si="5"/>
        <v>368</v>
      </c>
    </row>
    <row r="45" spans="1:6" ht="20.100000000000001" customHeight="1">
      <c r="A45" s="11" t="s">
        <v>75</v>
      </c>
      <c r="B45" s="2">
        <f>IF(A45="","",SUMIFS(Movimentações!$E$4:$E$461,Movimentações!$C$4:$C$461,A45,Movimentações!$D$4:$D$461,"Entrada"))</f>
        <v>14</v>
      </c>
      <c r="C45" s="2">
        <f>IF(A45="","",SUMIFS(Movimentações!$E$4:$E$461,Movimentações!$C$4:$C$461,A45,Movimentações!$D$4:$D$461,"Saída"))</f>
        <v>0</v>
      </c>
      <c r="D45" s="2">
        <f t="shared" si="4"/>
        <v>14</v>
      </c>
      <c r="E45" s="3">
        <f>IF(A45="","",IFERROR(SUMIFS(Movimentações!$G$4:$G$461,Movimentações!$C$4:$C$461,A45,Movimentações!$D$4:$D$461,"Entrada")/B45,0))</f>
        <v>81.900000000000006</v>
      </c>
      <c r="F45" s="3">
        <f t="shared" si="5"/>
        <v>1146.6000000000001</v>
      </c>
    </row>
    <row r="46" spans="1:6" ht="20.100000000000001" customHeight="1">
      <c r="A46" s="11" t="s">
        <v>76</v>
      </c>
      <c r="B46" s="2">
        <f>IF(A46="","",SUMIFS(Movimentações!$E$4:$E$461,Movimentações!$C$4:$C$461,A46,Movimentações!$D$4:$D$461,"Entrada"))</f>
        <v>5</v>
      </c>
      <c r="C46" s="2">
        <f>IF(A46="","",SUMIFS(Movimentações!$E$4:$E$461,Movimentações!$C$4:$C$461,A46,Movimentações!$D$4:$D$461,"Saída"))</f>
        <v>0</v>
      </c>
      <c r="D46" s="2">
        <f t="shared" si="4"/>
        <v>5</v>
      </c>
      <c r="E46" s="3">
        <f>IF(A46="","",IFERROR(SUMIFS(Movimentações!$G$4:$G$461,Movimentações!$C$4:$C$461,A46,Movimentações!$D$4:$D$461,"Entrada")/B46,0))</f>
        <v>19.989999999999998</v>
      </c>
      <c r="F46" s="3">
        <f t="shared" si="5"/>
        <v>99.949999999999989</v>
      </c>
    </row>
    <row r="47" spans="1:6" ht="20.100000000000001" customHeight="1">
      <c r="A47" s="11" t="s">
        <v>78</v>
      </c>
      <c r="B47" s="2">
        <f>IF(A47="","",SUMIFS(Movimentações!$E$4:$E$461,Movimentações!$C$4:$C$461,A47,Movimentações!$D$4:$D$461,"Entrada"))</f>
        <v>6</v>
      </c>
      <c r="C47" s="2">
        <f>IF(A47="","",SUMIFS(Movimentações!$E$4:$E$461,Movimentações!$C$4:$C$461,A47,Movimentações!$D$4:$D$461,"Saída"))</f>
        <v>0</v>
      </c>
      <c r="D47" s="2">
        <f t="shared" si="4"/>
        <v>6</v>
      </c>
      <c r="E47" s="3">
        <f>IF(A47="","",IFERROR(SUMIFS(Movimentações!$G$4:$G$461,Movimentações!$C$4:$C$461,A47,Movimentações!$D$4:$D$461,"Entrada")/B47,0))</f>
        <v>46</v>
      </c>
      <c r="F47" s="3">
        <f t="shared" si="5"/>
        <v>276</v>
      </c>
    </row>
    <row r="48" spans="1:6" ht="20.100000000000001" customHeight="1">
      <c r="A48" s="11" t="s">
        <v>77</v>
      </c>
      <c r="B48" s="2">
        <f>IF(A48="","",SUMIFS(Movimentações!$E$4:$E$461,Movimentações!$C$4:$C$461,A48,Movimentações!$D$4:$D$461,"Entrada"))</f>
        <v>5</v>
      </c>
      <c r="C48" s="2">
        <f>IF(A48="","",SUMIFS(Movimentações!$E$4:$E$461,Movimentações!$C$4:$C$461,A48,Movimentações!$D$4:$D$461,"Saída"))</f>
        <v>0</v>
      </c>
      <c r="D48" s="2">
        <f t="shared" si="4"/>
        <v>5</v>
      </c>
      <c r="E48" s="3">
        <f>IF(A48="","",IFERROR(SUMIFS(Movimentações!$G$4:$G$461,Movimentações!$C$4:$C$461,A48,Movimentações!$D$4:$D$461,"Entrada")/B48,0))</f>
        <v>120</v>
      </c>
      <c r="F48" s="3">
        <f t="shared" si="5"/>
        <v>600</v>
      </c>
    </row>
    <row r="49" spans="1:6" ht="20.100000000000001" customHeight="1">
      <c r="A49" s="11" t="s">
        <v>79</v>
      </c>
      <c r="B49" s="2">
        <f>IF(A49="","",SUMIFS(Movimentações!$E$4:$E$461,Movimentações!$C$4:$C$461,A49,Movimentações!$D$4:$D$461,"Entrada"))</f>
        <v>10</v>
      </c>
      <c r="C49" s="2">
        <f>IF(A49="","",SUMIFS(Movimentações!$E$4:$E$461,Movimentações!$C$4:$C$461,A49,Movimentações!$D$4:$D$461,"Saída"))</f>
        <v>0</v>
      </c>
      <c r="D49" s="2">
        <f t="shared" si="4"/>
        <v>10</v>
      </c>
      <c r="E49" s="3">
        <f>IF(A49="","",IFERROR(SUMIFS(Movimentações!$G$4:$G$461,Movimentações!$C$4:$C$461,A49,Movimentações!$D$4:$D$461,"Entrada")/B49,0))</f>
        <v>28</v>
      </c>
      <c r="F49" s="3">
        <f t="shared" si="5"/>
        <v>280</v>
      </c>
    </row>
    <row r="50" spans="1:6" ht="20.100000000000001" customHeight="1">
      <c r="A50" s="11" t="s">
        <v>80</v>
      </c>
      <c r="B50" s="2">
        <f>IF(A50="","",SUMIFS(Movimentações!$E$4:$E$461,Movimentações!$C$4:$C$461,A50,Movimentações!$D$4:$D$461,"Entrada"))</f>
        <v>5</v>
      </c>
      <c r="C50" s="2">
        <f>IF(A50="","",SUMIFS(Movimentações!$E$4:$E$461,Movimentações!$C$4:$C$461,A50,Movimentações!$D$4:$D$461,"Saída"))</f>
        <v>0</v>
      </c>
      <c r="D50" s="2">
        <f t="shared" si="4"/>
        <v>5</v>
      </c>
      <c r="E50" s="3">
        <f>IF(A50="","",IFERROR(SUMIFS(Movimentações!$G$4:$G$461,Movimentações!$C$4:$C$461,A50,Movimentações!$D$4:$D$461,"Entrada")/B50,0))</f>
        <v>22</v>
      </c>
      <c r="F50" s="3">
        <f t="shared" si="5"/>
        <v>110</v>
      </c>
    </row>
    <row r="51" spans="1:6" ht="20.100000000000001" customHeight="1">
      <c r="A51" s="11" t="s">
        <v>82</v>
      </c>
      <c r="B51" s="2">
        <f>IF(A51="","",SUMIFS(Movimentações!$E$4:$E$461,Movimentações!$C$4:$C$461,A51,Movimentações!$D$4:$D$461,"Entrada"))</f>
        <v>2</v>
      </c>
      <c r="C51" s="2">
        <f>IF(A51="","",SUMIFS(Movimentações!$E$4:$E$461,Movimentações!$C$4:$C$461,A51,Movimentações!$D$4:$D$461,"Saída"))</f>
        <v>0</v>
      </c>
      <c r="D51" s="2">
        <f t="shared" si="4"/>
        <v>2</v>
      </c>
      <c r="E51" s="3">
        <f>IF(A51="","",IFERROR(SUMIFS(Movimentações!$G$4:$G$461,Movimentações!$C$4:$C$461,A51,Movimentações!$D$4:$D$461,"Entrada")/B51,0))</f>
        <v>410</v>
      </c>
      <c r="F51" s="3">
        <f t="shared" si="5"/>
        <v>820</v>
      </c>
    </row>
    <row r="52" spans="1:6" ht="20.100000000000001" customHeight="1">
      <c r="A52" s="11" t="s">
        <v>83</v>
      </c>
      <c r="B52" s="2">
        <f>IF(A52="","",SUMIFS(Movimentações!$E$4:$E$461,Movimentações!$C$4:$C$461,A52,Movimentações!$D$4:$D$461,"Entrada"))</f>
        <v>4</v>
      </c>
      <c r="C52" s="2">
        <f>IF(A52="","",SUMIFS(Movimentações!$E$4:$E$461,Movimentações!$C$4:$C$461,A52,Movimentações!$D$4:$D$461,"Saída"))</f>
        <v>0</v>
      </c>
      <c r="D52" s="2">
        <f t="shared" si="4"/>
        <v>4</v>
      </c>
      <c r="E52" s="3">
        <f>IF(A52="","",IFERROR(SUMIFS(Movimentações!$G$4:$G$461,Movimentações!$C$4:$C$461,A52,Movimentações!$D$4:$D$461,"Entrada")/B52,0))</f>
        <v>18</v>
      </c>
      <c r="F52" s="3">
        <f t="shared" si="5"/>
        <v>72</v>
      </c>
    </row>
    <row r="53" spans="1:6" ht="20.100000000000001" customHeight="1">
      <c r="A53" s="11" t="s">
        <v>88</v>
      </c>
      <c r="B53" s="2">
        <f>IF(A53="","",SUMIFS(Movimentações!$E$4:$E$461,Movimentações!$C$4:$C$461,A53,Movimentações!$D$4:$D$461,"Entrada"))</f>
        <v>7</v>
      </c>
      <c r="C53" s="2">
        <f>IF(A53="","",SUMIFS(Movimentações!$E$4:$E$461,Movimentações!$C$4:$C$461,A53,Movimentações!$D$4:$D$461,"Saída"))</f>
        <v>4</v>
      </c>
      <c r="D53" s="2">
        <f t="shared" si="4"/>
        <v>3</v>
      </c>
      <c r="E53" s="3">
        <f>IF(A53="","",IFERROR(SUMIFS(Movimentações!$G$4:$G$461,Movimentações!$C$4:$C$461,A53,Movimentações!$D$4:$D$461,"Entrada")/B53,0))</f>
        <v>11.488571428571429</v>
      </c>
      <c r="F53" s="3">
        <f t="shared" si="5"/>
        <v>34.465714285714284</v>
      </c>
    </row>
    <row r="54" spans="1:6" ht="20.100000000000001" customHeight="1">
      <c r="A54" s="11" t="s">
        <v>89</v>
      </c>
      <c r="B54" s="2">
        <f>IF(A54="","",SUMIFS(Movimentações!$E$4:$E$461,Movimentações!$C$4:$C$461,A54,Movimentações!$D$4:$D$461,"Entrada"))</f>
        <v>4</v>
      </c>
      <c r="C54" s="2">
        <f>IF(A54="","",SUMIFS(Movimentações!$E$4:$E$461,Movimentações!$C$4:$C$461,A54,Movimentações!$D$4:$D$461,"Saída"))</f>
        <v>2</v>
      </c>
      <c r="D54" s="2">
        <f t="shared" si="4"/>
        <v>2</v>
      </c>
      <c r="E54" s="3">
        <f>IF(A54="","",IFERROR(SUMIFS(Movimentações!$G$4:$G$461,Movimentações!$C$4:$C$461,A54,Movimentações!$D$4:$D$461,"Entrada")/B54,0))</f>
        <v>2.5599999999999996</v>
      </c>
      <c r="F54" s="3">
        <f t="shared" si="5"/>
        <v>5.1199999999999992</v>
      </c>
    </row>
    <row r="55" spans="1:6" ht="20.100000000000001" customHeight="1">
      <c r="A55" s="11" t="s">
        <v>90</v>
      </c>
      <c r="B55" s="2">
        <f>IF(A55="","",SUMIFS(Movimentações!$E$4:$E$461,Movimentações!$C$4:$C$461,A55,Movimentações!$D$4:$D$461,"Entrada"))</f>
        <v>2</v>
      </c>
      <c r="C55" s="2">
        <f>IF(A55="","",SUMIFS(Movimentações!$E$4:$E$461,Movimentações!$C$4:$C$461,A55,Movimentações!$D$4:$D$461,"Saída"))</f>
        <v>2</v>
      </c>
      <c r="D55" s="2">
        <f t="shared" si="4"/>
        <v>0</v>
      </c>
      <c r="E55" s="3">
        <f>IF(A55="","",IFERROR(SUMIFS(Movimentações!$G$4:$G$461,Movimentações!$C$4:$C$461,A55,Movimentações!$D$4:$D$461,"Entrada")/B55,0))</f>
        <v>4.47</v>
      </c>
      <c r="F55" s="3">
        <f t="shared" si="5"/>
        <v>0</v>
      </c>
    </row>
    <row r="56" spans="1:6" ht="20.100000000000001" customHeight="1">
      <c r="A56" s="11" t="s">
        <v>91</v>
      </c>
      <c r="B56" s="2">
        <f>IF(A56="","",SUMIFS(Movimentações!$E$4:$E$461,Movimentações!$C$4:$C$461,A56,Movimentações!$D$4:$D$461,"Entrada"))</f>
        <v>5</v>
      </c>
      <c r="C56" s="2">
        <f>IF(A56="","",SUMIFS(Movimentações!$E$4:$E$461,Movimentações!$C$4:$C$461,A56,Movimentações!$D$4:$D$461,"Saída"))</f>
        <v>5</v>
      </c>
      <c r="D56" s="2">
        <f t="shared" si="4"/>
        <v>0</v>
      </c>
      <c r="E56" s="3">
        <f>IF(A56="","",IFERROR(SUMIFS(Movimentações!$G$4:$G$461,Movimentações!$C$4:$C$461,A56,Movimentações!$D$4:$D$461,"Entrada")/B56,0))</f>
        <v>14.51</v>
      </c>
      <c r="F56" s="3">
        <f t="shared" si="5"/>
        <v>0</v>
      </c>
    </row>
    <row r="57" spans="1:6" ht="20.100000000000001" customHeight="1">
      <c r="A57" s="11" t="s">
        <v>92</v>
      </c>
      <c r="B57" s="2">
        <f>IF(A57="","",SUMIFS(Movimentações!$E$4:$E$461,Movimentações!$C$4:$C$461,A57,Movimentações!$D$4:$D$461,"Entrada"))</f>
        <v>10</v>
      </c>
      <c r="C57" s="2">
        <f>IF(A57="","",SUMIFS(Movimentações!$E$4:$E$461,Movimentações!$C$4:$C$461,A57,Movimentações!$D$4:$D$461,"Saída"))</f>
        <v>10</v>
      </c>
      <c r="D57" s="2">
        <f t="shared" si="4"/>
        <v>0</v>
      </c>
      <c r="E57" s="3">
        <f>IF(A57="","",IFERROR(SUMIFS(Movimentações!$G$4:$G$461,Movimentações!$C$4:$C$461,A57,Movimentações!$D$4:$D$461,"Entrada")/B57,0))</f>
        <v>9</v>
      </c>
      <c r="F57" s="3">
        <f t="shared" si="5"/>
        <v>0</v>
      </c>
    </row>
    <row r="58" spans="1:6" ht="20.100000000000001" customHeight="1">
      <c r="A58" s="11" t="s">
        <v>93</v>
      </c>
      <c r="B58" s="2">
        <f>IF(A58="","",SUMIFS(Movimentações!$E$4:$E$461,Movimentações!$C$4:$C$461,A58,Movimentações!$D$4:$D$461,"Entrada"))</f>
        <v>10</v>
      </c>
      <c r="C58" s="2">
        <f>IF(A58="","",SUMIFS(Movimentações!$E$4:$E$461,Movimentações!$C$4:$C$461,A58,Movimentações!$D$4:$D$461,"Saída"))</f>
        <v>10</v>
      </c>
      <c r="D58" s="2">
        <f t="shared" si="4"/>
        <v>0</v>
      </c>
      <c r="E58" s="3">
        <f>IF(A58="","",IFERROR(SUMIFS(Movimentações!$G$4:$G$461,Movimentações!$C$4:$C$461,A58,Movimentações!$D$4:$D$461,"Entrada")/B58,0))</f>
        <v>7.5</v>
      </c>
      <c r="F58" s="3">
        <f t="shared" si="5"/>
        <v>0</v>
      </c>
    </row>
    <row r="59" spans="1:6" ht="20.100000000000001" customHeight="1">
      <c r="A59" s="11" t="s">
        <v>94</v>
      </c>
      <c r="B59" s="2">
        <f>IF(A59="","",SUMIFS(Movimentações!$E$4:$E$461,Movimentações!$C$4:$C$461,A59,Movimentações!$D$4:$D$461,"Entrada"))</f>
        <v>10</v>
      </c>
      <c r="C59" s="2">
        <f>IF(A59="","",SUMIFS(Movimentações!$E$4:$E$461,Movimentações!$C$4:$C$461,A59,Movimentações!$D$4:$D$461,"Saída"))</f>
        <v>10</v>
      </c>
      <c r="D59" s="2">
        <f t="shared" si="4"/>
        <v>0</v>
      </c>
      <c r="E59" s="3">
        <f>IF(A59="","",IFERROR(SUMIFS(Movimentações!$G$4:$G$461,Movimentações!$C$4:$C$461,A59,Movimentações!$D$4:$D$461,"Entrada")/B59,0))</f>
        <v>0.38080000000000003</v>
      </c>
      <c r="F59" s="3">
        <f t="shared" si="5"/>
        <v>0</v>
      </c>
    </row>
    <row r="60" spans="1:6" ht="20.100000000000001" customHeight="1">
      <c r="A60" s="11" t="s">
        <v>98</v>
      </c>
      <c r="B60" s="2">
        <f>IF(A60="","",SUMIFS(Movimentações!$E$4:$E$461,Movimentações!$C$4:$C$461,A60,Movimentações!$D$4:$D$461,"Entrada"))</f>
        <v>20</v>
      </c>
      <c r="C60" s="2">
        <f>IF(A60="","",SUMIFS(Movimentações!$E$4:$E$461,Movimentações!$C$4:$C$461,A60,Movimentações!$D$4:$D$461,"Saída"))</f>
        <v>0</v>
      </c>
      <c r="D60" s="2">
        <f t="shared" si="4"/>
        <v>20</v>
      </c>
      <c r="E60" s="3">
        <f>IF(A60="","",IFERROR(SUMIFS(Movimentações!$G$4:$G$461,Movimentações!$C$4:$C$461,A60,Movimentações!$D$4:$D$461,"Entrada")/B60,0))</f>
        <v>18.86</v>
      </c>
      <c r="F60" s="3">
        <f t="shared" si="5"/>
        <v>377.2</v>
      </c>
    </row>
    <row r="61" spans="1:6" ht="20.100000000000001" customHeight="1">
      <c r="A61" s="11" t="s">
        <v>101</v>
      </c>
      <c r="B61" s="2">
        <f>IF(A61="","",SUMIFS(Movimentações!$E$4:$E$461,Movimentações!$C$4:$C$461,A61,Movimentações!$D$4:$D$461,"Entrada"))</f>
        <v>12</v>
      </c>
      <c r="C61" s="2">
        <f>IF(A61="","",SUMIFS(Movimentações!$E$4:$E$461,Movimentações!$C$4:$C$461,A61,Movimentações!$D$4:$D$461,"Saída"))</f>
        <v>1</v>
      </c>
      <c r="D61" s="2">
        <f t="shared" si="4"/>
        <v>11</v>
      </c>
      <c r="E61" s="3">
        <f>IF(A61="","",IFERROR(SUMIFS(Movimentações!$G$4:$G$461,Movimentações!$C$4:$C$461,A61,Movimentações!$D$4:$D$461,"Entrada")/B61,0))</f>
        <v>0.82</v>
      </c>
      <c r="F61" s="3">
        <f t="shared" si="5"/>
        <v>9.02</v>
      </c>
    </row>
    <row r="62" spans="1:6" ht="20.100000000000001" customHeight="1">
      <c r="A62" s="11" t="s">
        <v>102</v>
      </c>
      <c r="B62" s="2">
        <f>IF(A62="","",SUMIFS(Movimentações!$E$4:$E$461,Movimentações!$C$4:$C$461,A62,Movimentações!$D$4:$D$461,"Entrada"))</f>
        <v>10</v>
      </c>
      <c r="C62" s="2">
        <f>IF(A62="","",SUMIFS(Movimentações!$E$4:$E$461,Movimentações!$C$4:$C$461,A62,Movimentações!$D$4:$D$461,"Saída"))</f>
        <v>4</v>
      </c>
      <c r="D62" s="2">
        <f t="shared" si="4"/>
        <v>6</v>
      </c>
      <c r="E62" s="3">
        <f>IF(A62="","",IFERROR(SUMIFS(Movimentações!$G$4:$G$461,Movimentações!$C$4:$C$461,A62,Movimentações!$D$4:$D$461,"Entrada")/B62,0))</f>
        <v>1.19</v>
      </c>
      <c r="F62" s="3">
        <f t="shared" si="5"/>
        <v>7.14</v>
      </c>
    </row>
    <row r="63" spans="1:6" ht="20.100000000000001" customHeight="1">
      <c r="A63" s="11" t="s">
        <v>103</v>
      </c>
      <c r="B63" s="2">
        <f>IF(A63="","",SUMIFS(Movimentações!$E$4:$E$461,Movimentações!$C$4:$C$461,A63,Movimentações!$D$4:$D$461,"Entrada"))</f>
        <v>4</v>
      </c>
      <c r="C63" s="2">
        <f>IF(A63="","",SUMIFS(Movimentações!$E$4:$E$461,Movimentações!$C$4:$C$461,A63,Movimentações!$D$4:$D$461,"Saída"))</f>
        <v>0</v>
      </c>
      <c r="D63" s="2">
        <f t="shared" si="4"/>
        <v>4</v>
      </c>
      <c r="E63" s="3">
        <f>IF(A63="","",IFERROR(SUMIFS(Movimentações!$G$4:$G$461,Movimentações!$C$4:$C$461,A63,Movimentações!$D$4:$D$461,"Entrada")/B63,0))</f>
        <v>4.9000000000000004</v>
      </c>
      <c r="F63" s="3">
        <f t="shared" si="5"/>
        <v>19.600000000000001</v>
      </c>
    </row>
    <row r="64" spans="1:6" ht="20.100000000000001" customHeight="1">
      <c r="A64" s="11" t="s">
        <v>104</v>
      </c>
      <c r="B64" s="2">
        <f>IF(A64="","",SUMIFS(Movimentações!$E$4:$E$461,Movimentações!$C$4:$C$461,A64,Movimentações!$D$4:$D$461,"Entrada"))</f>
        <v>11</v>
      </c>
      <c r="C64" s="2">
        <f>IF(A64="","",SUMIFS(Movimentações!$E$4:$E$461,Movimentações!$C$4:$C$461,A64,Movimentações!$D$4:$D$461,"Saída"))</f>
        <v>3</v>
      </c>
      <c r="D64" s="2">
        <f t="shared" si="4"/>
        <v>8</v>
      </c>
      <c r="E64" s="3">
        <f>IF(A64="","",IFERROR(SUMIFS(Movimentações!$G$4:$G$461,Movimentações!$C$4:$C$461,A64,Movimentações!$D$4:$D$461,"Entrada")/B64,0))</f>
        <v>50.62</v>
      </c>
      <c r="F64" s="3">
        <f t="shared" si="5"/>
        <v>404.96</v>
      </c>
    </row>
    <row r="65" spans="1:6" ht="20.100000000000001" customHeight="1">
      <c r="A65" s="11" t="s">
        <v>105</v>
      </c>
      <c r="B65" s="2">
        <f>IF(A65="","",SUMIFS(Movimentações!$E$4:$E$461,Movimentações!$C$4:$C$461,A65,Movimentações!$D$4:$D$461,"Entrada"))</f>
        <v>5</v>
      </c>
      <c r="C65" s="2">
        <f>IF(A65="","",SUMIFS(Movimentações!$E$4:$E$461,Movimentações!$C$4:$C$461,A65,Movimentações!$D$4:$D$461,"Saída"))</f>
        <v>2</v>
      </c>
      <c r="D65" s="2">
        <f t="shared" si="4"/>
        <v>3</v>
      </c>
      <c r="E65" s="3">
        <f>IF(A65="","",IFERROR(SUMIFS(Movimentações!$G$4:$G$461,Movimentações!$C$4:$C$461,A65,Movimentações!$D$4:$D$461,"Entrada")/B65,0))</f>
        <v>31.28</v>
      </c>
      <c r="F65" s="3">
        <f t="shared" si="5"/>
        <v>93.84</v>
      </c>
    </row>
    <row r="66" spans="1:6" ht="20.100000000000001" customHeight="1">
      <c r="A66" s="11" t="s">
        <v>106</v>
      </c>
      <c r="B66" s="2">
        <f>IF(A66="","",SUMIFS(Movimentações!$E$4:$E$461,Movimentações!$C$4:$C$461,A66,Movimentações!$D$4:$D$461,"Entrada"))</f>
        <v>5</v>
      </c>
      <c r="C66" s="2">
        <f>IF(A66="","",SUMIFS(Movimentações!$E$4:$E$461,Movimentações!$C$4:$C$461,A66,Movimentações!$D$4:$D$461,"Saída"))</f>
        <v>4</v>
      </c>
      <c r="D66" s="2">
        <f t="shared" si="4"/>
        <v>1</v>
      </c>
      <c r="E66" s="3">
        <f>IF(A66="","",IFERROR(SUMIFS(Movimentações!$G$4:$G$461,Movimentações!$C$4:$C$461,A66,Movimentações!$D$4:$D$461,"Entrada")/B66,0))</f>
        <v>6.09</v>
      </c>
      <c r="F66" s="3">
        <f t="shared" si="5"/>
        <v>6.09</v>
      </c>
    </row>
    <row r="67" spans="1:6" ht="20.100000000000001" customHeight="1">
      <c r="A67" s="11" t="s">
        <v>107</v>
      </c>
      <c r="B67" s="2">
        <f>IF(A67="","",SUMIFS(Movimentações!$E$4:$E$461,Movimentações!$C$4:$C$461,A67,Movimentações!$D$4:$D$461,"Entrada"))</f>
        <v>10</v>
      </c>
      <c r="C67" s="2">
        <f>IF(A67="","",SUMIFS(Movimentações!$E$4:$E$461,Movimentações!$C$4:$C$461,A67,Movimentações!$D$4:$D$461,"Saída"))</f>
        <v>2</v>
      </c>
      <c r="D67" s="2">
        <f t="shared" si="4"/>
        <v>8</v>
      </c>
      <c r="E67" s="3">
        <f>IF(A67="","",IFERROR(SUMIFS(Movimentações!$G$4:$G$461,Movimentações!$C$4:$C$461,A67,Movimentações!$D$4:$D$461,"Entrada")/B67,0))</f>
        <v>4.0999999999999996</v>
      </c>
      <c r="F67" s="3">
        <f t="shared" si="5"/>
        <v>32.799999999999997</v>
      </c>
    </row>
    <row r="68" spans="1:6" ht="20.100000000000001" customHeight="1">
      <c r="A68" s="11" t="s">
        <v>108</v>
      </c>
      <c r="B68" s="2">
        <f>IF(A68="","",SUMIFS(Movimentações!$E$4:$E$461,Movimentações!$C$4:$C$461,A68,Movimentações!$D$4:$D$461,"Entrada"))</f>
        <v>12</v>
      </c>
      <c r="C68" s="2">
        <f>IF(A68="","",SUMIFS(Movimentações!$E$4:$E$461,Movimentações!$C$4:$C$461,A68,Movimentações!$D$4:$D$461,"Saída"))</f>
        <v>1</v>
      </c>
      <c r="D68" s="2">
        <f t="shared" si="4"/>
        <v>11</v>
      </c>
      <c r="E68" s="3">
        <f>IF(A68="","",IFERROR(SUMIFS(Movimentações!$G$4:$G$461,Movimentações!$C$4:$C$461,A68,Movimentações!$D$4:$D$461,"Entrada")/B68,0))</f>
        <v>45.22</v>
      </c>
      <c r="F68" s="3">
        <f t="shared" si="5"/>
        <v>497.41999999999996</v>
      </c>
    </row>
    <row r="69" spans="1:6" ht="20.100000000000001" customHeight="1">
      <c r="A69" s="11" t="s">
        <v>109</v>
      </c>
      <c r="B69" s="2">
        <f>IF(A69="","",SUMIFS(Movimentações!$E$4:$E$461,Movimentações!$C$4:$C$461,A69,Movimentações!$D$4:$D$461,"Entrada"))</f>
        <v>10</v>
      </c>
      <c r="C69" s="2">
        <f>IF(A69="","",SUMIFS(Movimentações!$E$4:$E$461,Movimentações!$C$4:$C$461,A69,Movimentações!$D$4:$D$461,"Saída"))</f>
        <v>3</v>
      </c>
      <c r="D69" s="2">
        <f t="shared" si="4"/>
        <v>7</v>
      </c>
      <c r="E69" s="3">
        <f>IF(A69="","",IFERROR(SUMIFS(Movimentações!$G$4:$G$461,Movimentações!$C$4:$C$461,A69,Movimentações!$D$4:$D$461,"Entrada")/B69,0))</f>
        <v>6.04</v>
      </c>
      <c r="F69" s="3">
        <f t="shared" si="5"/>
        <v>42.28</v>
      </c>
    </row>
    <row r="70" spans="1:6" ht="20.100000000000001" customHeight="1">
      <c r="A70" s="11" t="s">
        <v>120</v>
      </c>
      <c r="B70" s="2">
        <f>IF(A70="","",SUMIFS(Movimentações!$E$4:$E$461,Movimentações!$C$4:$C$461,A70,Movimentações!$D$4:$D$461,"Entrada"))</f>
        <v>20</v>
      </c>
      <c r="C70" s="2">
        <f>IF(A70="","",SUMIFS(Movimentações!$E$4:$E$461,Movimentações!$C$4:$C$461,A70,Movimentações!$D$4:$D$461,"Saída"))</f>
        <v>2</v>
      </c>
      <c r="D70" s="2">
        <f t="shared" si="4"/>
        <v>18</v>
      </c>
      <c r="E70" s="3">
        <f>IF(A70="","",IFERROR(SUMIFS(Movimentações!$G$4:$G$461,Movimentações!$C$4:$C$461,A70,Movimentações!$D$4:$D$461,"Entrada")/B70,0))</f>
        <v>6.26</v>
      </c>
      <c r="F70" s="3">
        <f t="shared" si="5"/>
        <v>112.67999999999999</v>
      </c>
    </row>
    <row r="71" spans="1:6" ht="20.100000000000001" customHeight="1">
      <c r="A71" s="11" t="s">
        <v>122</v>
      </c>
      <c r="B71" s="2">
        <f>IF(A71="","",SUMIFS(Movimentações!$E$4:$E$461,Movimentações!$C$4:$C$461,A71,Movimentações!$D$4:$D$461,"Entrada"))</f>
        <v>69</v>
      </c>
      <c r="C71" s="2">
        <f>IF(A71="","",SUMIFS(Movimentações!$E$4:$E$461,Movimentações!$C$4:$C$461,A71,Movimentações!$D$4:$D$461,"Saída"))</f>
        <v>69</v>
      </c>
      <c r="D71" s="2">
        <f t="shared" si="4"/>
        <v>0</v>
      </c>
      <c r="E71" s="3">
        <f>IF(A71="","",IFERROR(SUMIFS(Movimentações!$G$4:$G$461,Movimentações!$C$4:$C$461,A71,Movimentações!$D$4:$D$461,"Entrada")/B71,0))</f>
        <v>0</v>
      </c>
      <c r="F71" s="3">
        <f t="shared" si="5"/>
        <v>0</v>
      </c>
    </row>
    <row r="72" spans="1:6" ht="20.100000000000001" customHeight="1">
      <c r="A72" s="11" t="s">
        <v>124</v>
      </c>
      <c r="B72" s="2">
        <f>IF(A72="","",SUMIFS(Movimentações!$E$4:$E$461,Movimentações!$C$4:$C$461,A72,Movimentações!$D$4:$D$461,"Entrada"))</f>
        <v>50</v>
      </c>
      <c r="C72" s="2">
        <f>IF(A72="","",SUMIFS(Movimentações!$E$4:$E$461,Movimentações!$C$4:$C$461,A72,Movimentações!$D$4:$D$461,"Saída"))</f>
        <v>0</v>
      </c>
      <c r="D72" s="2">
        <f t="shared" si="4"/>
        <v>50</v>
      </c>
      <c r="E72" s="3">
        <f>IF(A72="","",IFERROR(SUMIFS(Movimentações!$G$4:$G$461,Movimentações!$C$4:$C$461,A72,Movimentações!$D$4:$D$461,"Entrada")/B72,0))</f>
        <v>358</v>
      </c>
      <c r="F72" s="3">
        <f t="shared" si="5"/>
        <v>17900</v>
      </c>
    </row>
    <row r="73" spans="1:6" ht="20.100000000000001" customHeight="1">
      <c r="A73" s="11" t="s">
        <v>127</v>
      </c>
      <c r="B73" s="2">
        <f>IF(A73="","",SUMIFS(Movimentações!$E$4:$E$461,Movimentações!$C$4:$C$461,A73,Movimentações!$D$4:$D$461,"Entrada"))</f>
        <v>5</v>
      </c>
      <c r="C73" s="2">
        <f>IF(A73="","",SUMIFS(Movimentações!$E$4:$E$461,Movimentações!$C$4:$C$461,A73,Movimentações!$D$4:$D$461,"Saída"))</f>
        <v>0</v>
      </c>
      <c r="D73" s="2">
        <f t="shared" si="4"/>
        <v>5</v>
      </c>
      <c r="E73" s="3">
        <f>IF(A73="","",IFERROR(SUMIFS(Movimentações!$G$4:$G$461,Movimentações!$C$4:$C$461,A73,Movimentações!$D$4:$D$461,"Entrada")/B73,0))</f>
        <v>20.3</v>
      </c>
      <c r="F73" s="3">
        <f t="shared" si="5"/>
        <v>101.5</v>
      </c>
    </row>
    <row r="74" spans="1:6" ht="20.100000000000001" customHeight="1">
      <c r="A74" s="11" t="s">
        <v>128</v>
      </c>
      <c r="B74" s="2">
        <f>IF(A74="","",SUMIFS(Movimentações!$E$4:$E$461,Movimentações!$C$4:$C$461,A74,Movimentações!$D$4:$D$461,"Entrada"))</f>
        <v>10</v>
      </c>
      <c r="C74" s="2">
        <f>IF(A74="","",SUMIFS(Movimentações!$E$4:$E$461,Movimentações!$C$4:$C$461,A74,Movimentações!$D$4:$D$461,"Saída"))</f>
        <v>0</v>
      </c>
      <c r="D74" s="2">
        <f t="shared" si="4"/>
        <v>10</v>
      </c>
      <c r="E74" s="3">
        <f>IF(A74="","",IFERROR(SUMIFS(Movimentações!$G$4:$G$461,Movimentações!$C$4:$C$461,A74,Movimentações!$D$4:$D$461,"Entrada")/B74,0))</f>
        <v>3.08</v>
      </c>
      <c r="F74" s="3">
        <f t="shared" si="5"/>
        <v>30.8</v>
      </c>
    </row>
    <row r="75" spans="1:6" ht="20.100000000000001" customHeight="1">
      <c r="A75" s="11" t="s">
        <v>129</v>
      </c>
      <c r="B75" s="2">
        <f>IF(A75="","",SUMIFS(Movimentações!$E$4:$E$461,Movimentações!$C$4:$C$461,A75,Movimentações!$D$4:$D$461,"Entrada"))</f>
        <v>5</v>
      </c>
      <c r="C75" s="2">
        <f>IF(A75="","",SUMIFS(Movimentações!$E$4:$E$461,Movimentações!$C$4:$C$461,A75,Movimentações!$D$4:$D$461,"Saída"))</f>
        <v>0</v>
      </c>
      <c r="D75" s="2">
        <f t="shared" si="4"/>
        <v>5</v>
      </c>
      <c r="E75" s="3">
        <f>IF(A75="","",IFERROR(SUMIFS(Movimentações!$G$4:$G$461,Movimentações!$C$4:$C$461,A75,Movimentações!$D$4:$D$461,"Entrada")/B75,0))</f>
        <v>9.65</v>
      </c>
      <c r="F75" s="3">
        <f t="shared" si="5"/>
        <v>48.25</v>
      </c>
    </row>
    <row r="76" spans="1:6" ht="20.100000000000001" customHeight="1">
      <c r="A76" s="11" t="s">
        <v>130</v>
      </c>
      <c r="B76" s="2">
        <f>IF(A76="","",SUMIFS(Movimentações!$E$4:$E$461,Movimentações!$C$4:$C$461,A76,Movimentações!$D$4:$D$461,"Entrada"))</f>
        <v>1</v>
      </c>
      <c r="C76" s="2">
        <f>IF(A76="","",SUMIFS(Movimentações!$E$4:$E$461,Movimentações!$C$4:$C$461,A76,Movimentações!$D$4:$D$461,"Saída"))</f>
        <v>0</v>
      </c>
      <c r="D76" s="2">
        <f t="shared" si="4"/>
        <v>1</v>
      </c>
      <c r="E76" s="3">
        <f>IF(A76="","",IFERROR(SUMIFS(Movimentações!$G$4:$G$461,Movimentações!$C$4:$C$461,A76,Movimentações!$D$4:$D$461,"Entrada")/B76,0))</f>
        <v>165</v>
      </c>
      <c r="F76" s="3">
        <f t="shared" si="5"/>
        <v>165</v>
      </c>
    </row>
    <row r="77" spans="1:6" ht="20.100000000000001" customHeight="1">
      <c r="A77" s="11" t="s">
        <v>131</v>
      </c>
      <c r="B77" s="2">
        <f>IF(A77="","",SUMIFS(Movimentações!$E$4:$E$461,Movimentações!$C$4:$C$461,A77,Movimentações!$D$4:$D$461,"Entrada"))</f>
        <v>10</v>
      </c>
      <c r="C77" s="2">
        <f>IF(A77="","",SUMIFS(Movimentações!$E$4:$E$461,Movimentações!$C$4:$C$461,A77,Movimentações!$D$4:$D$461,"Saída"))</f>
        <v>3</v>
      </c>
      <c r="D77" s="2">
        <f t="shared" si="4"/>
        <v>7</v>
      </c>
      <c r="E77" s="3">
        <f>IF(A77="","",IFERROR(SUMIFS(Movimentações!$G$4:$G$461,Movimentações!$C$4:$C$461,A77,Movimentações!$D$4:$D$461,"Entrada")/B77,0))</f>
        <v>13.789999999999997</v>
      </c>
      <c r="F77" s="3">
        <f t="shared" si="5"/>
        <v>96.529999999999987</v>
      </c>
    </row>
    <row r="78" spans="1:6" ht="20.100000000000001" customHeight="1">
      <c r="A78" s="11" t="s">
        <v>137</v>
      </c>
      <c r="B78" s="2">
        <f>IF(A78="","",SUMIFS(Movimentações!$E$4:$E$461,Movimentações!$C$4:$C$461,A78,Movimentações!$D$4:$D$461,"Entrada"))</f>
        <v>12</v>
      </c>
      <c r="C78" s="2">
        <f>IF(A78="","",SUMIFS(Movimentações!$E$4:$E$461,Movimentações!$C$4:$C$461,A78,Movimentações!$D$4:$D$461,"Saída"))</f>
        <v>5</v>
      </c>
      <c r="D78" s="2">
        <f t="shared" si="4"/>
        <v>7</v>
      </c>
      <c r="E78" s="3">
        <f>IF(A78="","",IFERROR(SUMIFS(Movimentações!$G$4:$G$461,Movimentações!$C$4:$C$461,A78,Movimentações!$D$4:$D$461,"Entrada")/B78,0))</f>
        <v>3.2050000000000001</v>
      </c>
      <c r="F78" s="3">
        <f t="shared" si="5"/>
        <v>22.435000000000002</v>
      </c>
    </row>
    <row r="79" spans="1:6" ht="20.100000000000001" customHeight="1">
      <c r="A79" s="11" t="s">
        <v>138</v>
      </c>
      <c r="B79" s="2">
        <f>IF(A79="","",SUMIFS(Movimentações!$E$4:$E$461,Movimentações!$C$4:$C$461,A79,Movimentações!$D$4:$D$461,"Entrada"))</f>
        <v>8</v>
      </c>
      <c r="C79" s="2">
        <f>IF(A79="","",SUMIFS(Movimentações!$E$4:$E$461,Movimentações!$C$4:$C$461,A79,Movimentações!$D$4:$D$461,"Saída"))</f>
        <v>4</v>
      </c>
      <c r="D79" s="2">
        <f t="shared" si="4"/>
        <v>4</v>
      </c>
      <c r="E79" s="3">
        <f>IF(A79="","",IFERROR(SUMIFS(Movimentações!$G$4:$G$461,Movimentações!$C$4:$C$461,A79,Movimentações!$D$4:$D$461,"Entrada")/B79,0))</f>
        <v>7.5</v>
      </c>
      <c r="F79" s="3">
        <f t="shared" si="5"/>
        <v>30</v>
      </c>
    </row>
    <row r="80" spans="1:6" ht="20.100000000000001" customHeight="1">
      <c r="A80" s="11" t="s">
        <v>139</v>
      </c>
      <c r="B80" s="2">
        <f>IF(A80="","",SUMIFS(Movimentações!$E$4:$E$461,Movimentações!$C$4:$C$461,A80,Movimentações!$D$4:$D$461,"Entrada"))</f>
        <v>5</v>
      </c>
      <c r="C80" s="2">
        <f>IF(A80="","",SUMIFS(Movimentações!$E$4:$E$461,Movimentações!$C$4:$C$461,A80,Movimentações!$D$4:$D$461,"Saída"))</f>
        <v>2</v>
      </c>
      <c r="D80" s="2">
        <f t="shared" si="4"/>
        <v>3</v>
      </c>
      <c r="E80" s="3">
        <f>IF(A80="","",IFERROR(SUMIFS(Movimentações!$G$4:$G$461,Movimentações!$C$4:$C$461,A80,Movimentações!$D$4:$D$461,"Entrada")/B80,0))</f>
        <v>2.35</v>
      </c>
      <c r="F80" s="3">
        <f t="shared" si="5"/>
        <v>7.0500000000000007</v>
      </c>
    </row>
    <row r="81" spans="1:6" ht="20.100000000000001" customHeight="1">
      <c r="A81" s="11" t="s">
        <v>140</v>
      </c>
      <c r="B81" s="2">
        <f>IF(A81="","",SUMIFS(Movimentações!$E$4:$E$461,Movimentações!$C$4:$C$461,A81,Movimentações!$D$4:$D$461,"Entrada"))</f>
        <v>2</v>
      </c>
      <c r="C81" s="2">
        <f>IF(A81="","",SUMIFS(Movimentações!$E$4:$E$461,Movimentações!$C$4:$C$461,A81,Movimentações!$D$4:$D$461,"Saída"))</f>
        <v>0</v>
      </c>
      <c r="D81" s="2">
        <f t="shared" si="4"/>
        <v>2</v>
      </c>
      <c r="E81" s="3">
        <f>IF(A81="","",IFERROR(SUMIFS(Movimentações!$G$4:$G$461,Movimentações!$C$4:$C$461,A81,Movimentações!$D$4:$D$461,"Entrada")/B81,0))</f>
        <v>0</v>
      </c>
      <c r="F81" s="3">
        <f t="shared" si="5"/>
        <v>0</v>
      </c>
    </row>
    <row r="82" spans="1:6" ht="20.100000000000001" customHeight="1">
      <c r="A82" s="11" t="s">
        <v>143</v>
      </c>
      <c r="B82" s="2">
        <f>IF(A82="","",SUMIFS(Movimentações!$E$4:$E$461,Movimentações!$C$4:$C$461,A82,Movimentações!$D$4:$D$461,"Entrada"))</f>
        <v>5</v>
      </c>
      <c r="C82" s="2">
        <f>IF(A82="","",SUMIFS(Movimentações!$E$4:$E$461,Movimentações!$C$4:$C$461,A82,Movimentações!$D$4:$D$461,"Saída"))</f>
        <v>1</v>
      </c>
      <c r="D82" s="2">
        <f t="shared" si="4"/>
        <v>4</v>
      </c>
      <c r="E82" s="3">
        <f>IF(A82="","",IFERROR(SUMIFS(Movimentações!$G$4:$G$461,Movimentações!$C$4:$C$461,A82,Movimentações!$D$4:$D$461,"Entrada")/B82,0))</f>
        <v>13.66</v>
      </c>
      <c r="F82" s="3">
        <f t="shared" si="5"/>
        <v>54.64</v>
      </c>
    </row>
    <row r="83" spans="1:6" ht="20.100000000000001" customHeight="1">
      <c r="A83" s="11" t="s">
        <v>148</v>
      </c>
      <c r="B83" s="2">
        <f>IF(A83="","",SUMIFS(Movimentações!$E$4:$E$461,Movimentações!$C$4:$C$461,A83,Movimentações!$D$4:$D$461,"Entrada"))</f>
        <v>10</v>
      </c>
      <c r="C83" s="2">
        <f>IF(A83="","",SUMIFS(Movimentações!$E$4:$E$461,Movimentações!$C$4:$C$461,A83,Movimentações!$D$4:$D$461,"Saída"))</f>
        <v>8</v>
      </c>
      <c r="D83" s="2">
        <f t="shared" si="4"/>
        <v>2</v>
      </c>
      <c r="E83" s="3">
        <f>IF(A83="","",IFERROR(SUMIFS(Movimentações!$G$4:$G$461,Movimentações!$C$4:$C$461,A83,Movimentações!$D$4:$D$461,"Entrada")/B83,0))</f>
        <v>9</v>
      </c>
      <c r="F83" s="3">
        <f t="shared" si="5"/>
        <v>18</v>
      </c>
    </row>
    <row r="84" spans="1:6" ht="20.100000000000001" customHeight="1">
      <c r="A84" s="11" t="s">
        <v>155</v>
      </c>
      <c r="B84" s="2">
        <f>IF(A84="","",SUMIFS(Movimentações!$E$4:$E$461,Movimentações!$C$4:$C$461,A84,Movimentações!$D$4:$D$461,"Entrada"))</f>
        <v>4</v>
      </c>
      <c r="C84" s="2">
        <f>IF(A84="","",SUMIFS(Movimentações!$E$4:$E$461,Movimentações!$C$4:$C$461,A84,Movimentações!$D$4:$D$461,"Saída"))</f>
        <v>4</v>
      </c>
      <c r="D84" s="2">
        <f t="shared" si="4"/>
        <v>0</v>
      </c>
      <c r="E84" s="3">
        <f>IF(A84="","",IFERROR(SUMIFS(Movimentações!$G$4:$G$461,Movimentações!$C$4:$C$461,A84,Movimentações!$D$4:$D$461,"Entrada")/B84,0))</f>
        <v>0</v>
      </c>
      <c r="F84" s="3">
        <f t="shared" si="5"/>
        <v>0</v>
      </c>
    </row>
    <row r="85" spans="1:6" ht="20.100000000000001" customHeight="1">
      <c r="A85" s="11" t="s">
        <v>156</v>
      </c>
      <c r="B85" s="2">
        <f>IF(A85="","",SUMIFS(Movimentações!$E$4:$E$461,Movimentações!$C$4:$C$461,A85,Movimentações!$D$4:$D$461,"Entrada"))</f>
        <v>81</v>
      </c>
      <c r="C85" s="2">
        <f>IF(A85="","",SUMIFS(Movimentações!$E$4:$E$461,Movimentações!$C$4:$C$461,A85,Movimentações!$D$4:$D$461,"Saída"))</f>
        <v>9</v>
      </c>
      <c r="D85" s="2">
        <f t="shared" si="4"/>
        <v>72</v>
      </c>
      <c r="E85" s="3">
        <f>IF(A85="","",IFERROR(SUMIFS(Movimentações!$G$4:$G$461,Movimentações!$C$4:$C$461,A85,Movimentações!$D$4:$D$461,"Entrada")/B85,0))</f>
        <v>3.3245925925925923</v>
      </c>
      <c r="F85" s="3">
        <f t="shared" si="5"/>
        <v>239.37066666666664</v>
      </c>
    </row>
    <row r="86" spans="1:6" ht="20.100000000000001" customHeight="1">
      <c r="A86" s="11" t="s">
        <v>163</v>
      </c>
      <c r="B86" s="2">
        <f>IF(A86="","",SUMIFS(Movimentações!$E$4:$E$461,Movimentações!$C$4:$C$461,A86,Movimentações!$D$4:$D$461,"Entrada"))</f>
        <v>600</v>
      </c>
      <c r="C86" s="2">
        <f>IF(A86="","",SUMIFS(Movimentações!$E$4:$E$461,Movimentações!$C$4:$C$461,A86,Movimentações!$D$4:$D$461,"Saída"))</f>
        <v>350</v>
      </c>
      <c r="D86" s="2">
        <f t="shared" si="4"/>
        <v>250</v>
      </c>
      <c r="E86" s="3">
        <f>IF(A86="","",IFERROR(SUMIFS(Movimentações!$G$4:$G$461,Movimentações!$C$4:$C$461,A86,Movimentações!$D$4:$D$461,"Entrada")/B86,0))</f>
        <v>6.95</v>
      </c>
      <c r="F86" s="3">
        <f t="shared" si="5"/>
        <v>1737.5</v>
      </c>
    </row>
    <row r="87" spans="1:6" ht="20.100000000000001" customHeight="1">
      <c r="A87" s="11" t="s">
        <v>165</v>
      </c>
      <c r="B87" s="2">
        <f>IF(A87="","",SUMIFS(Movimentações!$E$4:$E$461,Movimentações!$C$4:$C$461,A87,Movimentações!$D$4:$D$461,"Entrada"))</f>
        <v>81</v>
      </c>
      <c r="C87" s="2">
        <f>IF(A87="","",SUMIFS(Movimentações!$E$4:$E$461,Movimentações!$C$4:$C$461,A87,Movimentações!$D$4:$D$461,"Saída"))</f>
        <v>7</v>
      </c>
      <c r="D87" s="2">
        <f t="shared" si="4"/>
        <v>74</v>
      </c>
      <c r="E87" s="3">
        <f>IF(A87="","",IFERROR(SUMIFS(Movimentações!$G$4:$G$461,Movimentações!$C$4:$C$461,A87,Movimentações!$D$4:$D$461,"Entrada")/B87,0))</f>
        <v>3.9528395061728396</v>
      </c>
      <c r="F87" s="3">
        <f t="shared" si="5"/>
        <v>292.51012345679015</v>
      </c>
    </row>
    <row r="88" spans="1:6" ht="20.100000000000001" customHeight="1">
      <c r="A88" s="11" t="s">
        <v>168</v>
      </c>
      <c r="B88" s="2">
        <f>IF(A88="","",SUMIFS(Movimentações!$E$4:$E$461,Movimentações!$C$4:$C$461,A88,Movimentações!$D$4:$D$461,"Entrada"))</f>
        <v>48</v>
      </c>
      <c r="C88" s="2">
        <f>IF(A88="","",SUMIFS(Movimentações!$E$4:$E$461,Movimentações!$C$4:$C$461,A88,Movimentações!$D$4:$D$461,"Saída"))</f>
        <v>2</v>
      </c>
      <c r="D88" s="2">
        <f t="shared" si="4"/>
        <v>46</v>
      </c>
      <c r="E88" s="3">
        <f>IF(A88="","",IFERROR(SUMIFS(Movimentações!$G$4:$G$461,Movimentações!$C$4:$C$461,A88,Movimentações!$D$4:$D$461,"Entrada")/B88,0))</f>
        <v>7.5</v>
      </c>
      <c r="F88" s="3">
        <f t="shared" si="5"/>
        <v>345</v>
      </c>
    </row>
    <row r="89" spans="1:6" ht="20.100000000000001" customHeight="1">
      <c r="A89" s="11" t="s">
        <v>183</v>
      </c>
      <c r="B89" s="2">
        <f>IF(A89="","",SUMIFS(Movimentações!$E$4:$E$461,Movimentações!$C$4:$C$461,A89,Movimentações!$D$4:$D$461,"Entrada"))</f>
        <v>2</v>
      </c>
      <c r="C89" s="2">
        <f>IF(A89="","",SUMIFS(Movimentações!$E$4:$E$461,Movimentações!$C$4:$C$461,A89,Movimentações!$D$4:$D$461,"Saída"))</f>
        <v>0</v>
      </c>
      <c r="D89" s="2">
        <f t="shared" si="4"/>
        <v>2</v>
      </c>
      <c r="E89" s="3">
        <f>IF(A89="","",IFERROR(SUMIFS(Movimentações!$G$4:$G$461,Movimentações!$C$4:$C$461,A89,Movimentações!$D$4:$D$461,"Entrada")/B89,0))</f>
        <v>12.8</v>
      </c>
      <c r="F89" s="3">
        <f t="shared" si="5"/>
        <v>25.6</v>
      </c>
    </row>
    <row r="90" spans="1:6" ht="20.100000000000001" customHeight="1">
      <c r="A90" s="11" t="s">
        <v>189</v>
      </c>
      <c r="B90" s="2">
        <f>IF(A90="","",SUMIFS(Movimentações!$E$4:$E$461,Movimentações!$C$4:$C$461,A90,Movimentações!$D$4:$D$461,"Entrada"))</f>
        <v>20</v>
      </c>
      <c r="C90" s="2">
        <f>IF(A90="","",SUMIFS(Movimentações!$E$4:$E$461,Movimentações!$C$4:$C$461,A90,Movimentações!$D$4:$D$461,"Saída"))</f>
        <v>0</v>
      </c>
      <c r="D90" s="2">
        <f t="shared" si="4"/>
        <v>20</v>
      </c>
      <c r="E90" s="3">
        <f>IF(A90="","",IFERROR(SUMIFS(Movimentações!$G$4:$G$461,Movimentações!$C$4:$C$461,A90,Movimentações!$D$4:$D$461,"Entrada")/B90,0))</f>
        <v>350</v>
      </c>
      <c r="F90" s="3">
        <f t="shared" si="5"/>
        <v>7000</v>
      </c>
    </row>
    <row r="91" spans="1:6" ht="20.100000000000001" customHeight="1">
      <c r="A91" s="11" t="s">
        <v>191</v>
      </c>
      <c r="B91" s="2">
        <f>IF(A91="","",SUMIFS(Movimentações!$E$4:$E$461,Movimentações!$C$4:$C$461,A91,Movimentações!$D$4:$D$461,"Entrada"))</f>
        <v>5</v>
      </c>
      <c r="C91" s="2">
        <f>IF(A91="","",SUMIFS(Movimentações!$E$4:$E$461,Movimentações!$C$4:$C$461,A91,Movimentações!$D$4:$D$461,"Saída"))</f>
        <v>0</v>
      </c>
      <c r="D91" s="2">
        <f t="shared" si="4"/>
        <v>5</v>
      </c>
      <c r="E91" s="3">
        <f>IF(A91="","",IFERROR(SUMIFS(Movimentações!$G$4:$G$461,Movimentações!$C$4:$C$461,A91,Movimentações!$D$4:$D$461,"Entrada")/B91,0))</f>
        <v>28</v>
      </c>
      <c r="F91" s="3">
        <f t="shared" si="5"/>
        <v>140</v>
      </c>
    </row>
    <row r="92" spans="1:6" ht="20.100000000000001" customHeight="1">
      <c r="A92" s="11" t="s">
        <v>193</v>
      </c>
      <c r="B92" s="2">
        <f>IF(A92="","",SUMIFS(Movimentações!$E$4:$E$461,Movimentações!$C$4:$C$461,A92,Movimentações!$D$4:$D$461,"Entrada"))</f>
        <v>1</v>
      </c>
      <c r="C92" s="2">
        <f>IF(A92="","",SUMIFS(Movimentações!$E$4:$E$461,Movimentações!$C$4:$C$461,A92,Movimentações!$D$4:$D$461,"Saída"))</f>
        <v>0</v>
      </c>
      <c r="D92" s="2">
        <f t="shared" si="4"/>
        <v>1</v>
      </c>
      <c r="E92" s="3">
        <f>IF(A92="","",IFERROR(SUMIFS(Movimentações!$G$4:$G$461,Movimentações!$C$4:$C$461,A92,Movimentações!$D$4:$D$461,"Entrada")/B92,0))</f>
        <v>480</v>
      </c>
      <c r="F92" s="3">
        <f t="shared" si="5"/>
        <v>480</v>
      </c>
    </row>
    <row r="93" spans="1:6" ht="20.100000000000001" customHeight="1">
      <c r="A93" s="11" t="s">
        <v>194</v>
      </c>
      <c r="B93" s="2">
        <f>IF(A93="","",SUMIFS(Movimentações!$E$4:$E$461,Movimentações!$C$4:$C$461,A93,Movimentações!$D$4:$D$461,"Entrada"))</f>
        <v>1</v>
      </c>
      <c r="C93" s="2">
        <f>IF(A93="","",SUMIFS(Movimentações!$E$4:$E$461,Movimentações!$C$4:$C$461,A93,Movimentações!$D$4:$D$461,"Saída"))</f>
        <v>0</v>
      </c>
      <c r="D93" s="2">
        <f t="shared" si="4"/>
        <v>1</v>
      </c>
      <c r="E93" s="3">
        <f>IF(A93="","",IFERROR(SUMIFS(Movimentações!$G$4:$G$461,Movimentações!$C$4:$C$461,A93,Movimentações!$D$4:$D$461,"Entrada")/B93,0))</f>
        <v>650</v>
      </c>
      <c r="F93" s="3">
        <f t="shared" si="5"/>
        <v>650</v>
      </c>
    </row>
    <row r="94" spans="1:6" ht="20.100000000000001" customHeight="1">
      <c r="A94" s="11" t="s">
        <v>195</v>
      </c>
      <c r="B94" s="2">
        <f>IF(A94="","",SUMIFS(Movimentações!$E$4:$E$461,Movimentações!$C$4:$C$461,A94,Movimentações!$D$4:$D$461,"Entrada"))</f>
        <v>1</v>
      </c>
      <c r="C94" s="2">
        <f>IF(A94="","",SUMIFS(Movimentações!$E$4:$E$461,Movimentações!$C$4:$C$461,A94,Movimentações!$D$4:$D$461,"Saída"))</f>
        <v>0</v>
      </c>
      <c r="D94" s="2">
        <f t="shared" si="4"/>
        <v>1</v>
      </c>
      <c r="E94" s="3">
        <f>IF(A94="","",IFERROR(SUMIFS(Movimentações!$G$4:$G$461,Movimentações!$C$4:$C$461,A94,Movimentações!$D$4:$D$461,"Entrada")/B94,0))</f>
        <v>490</v>
      </c>
      <c r="F94" s="3">
        <f t="shared" si="5"/>
        <v>490</v>
      </c>
    </row>
    <row r="95" spans="1:6" ht="20.100000000000001" customHeight="1">
      <c r="A95" s="11" t="s">
        <v>196</v>
      </c>
      <c r="B95" s="2">
        <f>IF(A95="","",SUMIFS(Movimentações!$E$4:$E$461,Movimentações!$C$4:$C$461,A95,Movimentações!$D$4:$D$461,"Entrada"))</f>
        <v>4</v>
      </c>
      <c r="C95" s="2">
        <f>IF(A95="","",SUMIFS(Movimentações!$E$4:$E$461,Movimentações!$C$4:$C$461,A95,Movimentações!$D$4:$D$461,"Saída"))</f>
        <v>0</v>
      </c>
      <c r="D95" s="2">
        <f t="shared" si="4"/>
        <v>4</v>
      </c>
      <c r="E95" s="3">
        <f>IF(A95="","",IFERROR(SUMIFS(Movimentações!$G$4:$G$461,Movimentações!$C$4:$C$461,A95,Movimentações!$D$4:$D$461,"Entrada")/B95,0))</f>
        <v>9.8000000000000007</v>
      </c>
      <c r="F95" s="3">
        <f t="shared" si="5"/>
        <v>39.200000000000003</v>
      </c>
    </row>
    <row r="96" spans="1:6" ht="20.100000000000001" customHeight="1">
      <c r="A96" s="11" t="s">
        <v>54</v>
      </c>
      <c r="B96" s="2">
        <f>IF(A96="","",SUMIFS(Movimentações!$E$4:$E$461,Movimentações!$C$4:$C$461,A96,Movimentações!$D$4:$D$461,"Entrada"))</f>
        <v>0</v>
      </c>
      <c r="C96" s="2">
        <f>IF(A96="","",SUMIFS(Movimentações!$E$4:$E$461,Movimentações!$C$4:$C$461,A96,Movimentações!$D$4:$D$461,"Saída"))</f>
        <v>0</v>
      </c>
      <c r="D96" s="2">
        <f t="shared" si="4"/>
        <v>0</v>
      </c>
      <c r="E96" s="3">
        <f>IF(A96="","",IFERROR(SUMIFS(Movimentações!$G$4:$G$461,Movimentações!$C$4:$C$461,A96,Movimentações!$D$4:$D$461,"Entrada")/B96,0))</f>
        <v>0</v>
      </c>
      <c r="F96" s="3">
        <f t="shared" si="5"/>
        <v>0</v>
      </c>
    </row>
    <row r="97" spans="2:6" ht="20.100000000000001" customHeight="1">
      <c r="B97" s="2" t="str">
        <f>IF(A97="","",SUMIFS(Movimentações!$E$4:$E$461,Movimentações!$C$4:$C$461,A97,Movimentações!$D$4:$D$461,"Entrada"))</f>
        <v/>
      </c>
      <c r="C97" s="2" t="str">
        <f>IF(A97="","",SUMIFS(Movimentações!$E$4:$E$461,Movimentações!$C$4:$C$461,A97,Movimentações!$D$4:$D$461,"Saída"))</f>
        <v/>
      </c>
      <c r="D97" s="2" t="str">
        <f t="shared" si="4"/>
        <v/>
      </c>
      <c r="E97" s="3" t="str">
        <f>IF(A97="","",IFERROR(SUMIFS(Movimentações!$G$4:$G$461,Movimentações!$C$4:$C$461,A97,Movimentações!$D$4:$D$461,"Entrada")/B97,0))</f>
        <v/>
      </c>
      <c r="F97" s="3" t="str">
        <f t="shared" si="5"/>
        <v/>
      </c>
    </row>
    <row r="98" spans="2:6" ht="20.100000000000001" customHeight="1">
      <c r="B98" s="2" t="str">
        <f>IF(A98="","",SUMIFS(Movimentações!$E$4:$E$461,Movimentações!$C$4:$C$461,A98,Movimentações!$D$4:$D$461,"Entrada"))</f>
        <v/>
      </c>
      <c r="C98" s="2" t="str">
        <f>IF(A98="","",SUMIFS(Movimentações!$E$4:$E$461,Movimentações!$C$4:$C$461,A98,Movimentações!$D$4:$D$461,"Saída"))</f>
        <v/>
      </c>
      <c r="D98" s="2" t="str">
        <f t="shared" si="4"/>
        <v/>
      </c>
      <c r="E98" s="3" t="str">
        <f>IF(A98="","",IFERROR(SUMIFS(Movimentações!$G$4:$G$461,Movimentações!$C$4:$C$461,A98,Movimentações!$D$4:$D$461,"Entrada")/B98,0))</f>
        <v/>
      </c>
      <c r="F98" s="3" t="str">
        <f t="shared" si="5"/>
        <v/>
      </c>
    </row>
    <row r="99" spans="2:6" ht="20.100000000000001" customHeight="1">
      <c r="B99" s="2" t="str">
        <f>IF(A99="","",SUMIFS(Movimentações!$E$4:$E$461,Movimentações!$C$4:$C$461,A99,Movimentações!$D$4:$D$461,"Entrada"))</f>
        <v/>
      </c>
      <c r="C99" s="2" t="str">
        <f>IF(A99="","",SUMIFS(Movimentações!$E$4:$E$461,Movimentações!$C$4:$C$461,A99,Movimentações!$D$4:$D$461,"Saída"))</f>
        <v/>
      </c>
      <c r="D99" s="2" t="str">
        <f t="shared" si="4"/>
        <v/>
      </c>
      <c r="E99" s="3" t="str">
        <f>IF(A99="","",IFERROR(SUMIFS(Movimentações!$G$4:$G$461,Movimentações!$C$4:$C$461,A99,Movimentações!$D$4:$D$461,"Entrada")/B99,0))</f>
        <v/>
      </c>
      <c r="F99" s="3" t="str">
        <f t="shared" si="5"/>
        <v/>
      </c>
    </row>
    <row r="100" spans="2:6" ht="20.100000000000001" customHeight="1">
      <c r="B100" s="2" t="str">
        <f>IF(A100="","",SUMIFS(Movimentações!$E$4:$E$461,Movimentações!$C$4:$C$461,A100,Movimentações!$D$4:$D$461,"Entrada"))</f>
        <v/>
      </c>
      <c r="C100" s="2" t="str">
        <f>IF(A100="","",SUMIFS(Movimentações!$E$4:$E$461,Movimentações!$C$4:$C$461,A100,Movimentações!$D$4:$D$461,"Saída"))</f>
        <v/>
      </c>
      <c r="D100" s="2" t="str">
        <f t="shared" si="4"/>
        <v/>
      </c>
      <c r="E100" s="3" t="str">
        <f>IF(A100="","",IFERROR(SUMIFS(Movimentações!$G$4:$G$461,Movimentações!$C$4:$C$461,A100,Movimentações!$D$4:$D$461,"Entrada")/B100,0))</f>
        <v/>
      </c>
      <c r="F100" s="3" t="str">
        <f t="shared" si="5"/>
        <v/>
      </c>
    </row>
    <row r="101" spans="2:6">
      <c r="B101" s="2" t="str">
        <f>IF(A101="","",SUMIFS(Movimentações!$E$4:$E$461,Movimentações!$C$4:$C$461,A101,Movimentações!$D$4:$D$461,"Entrada"))</f>
        <v/>
      </c>
      <c r="C101" s="2" t="str">
        <f>IF(A101="","",SUMIFS(Movimentações!$E$4:$E$461,Movimentações!$C$4:$C$461,A101,Movimentações!$D$4:$D$461,"Saída"))</f>
        <v/>
      </c>
      <c r="D101" s="2" t="str">
        <f t="shared" si="4"/>
        <v/>
      </c>
      <c r="E101" s="3" t="str">
        <f>IF(A101="","",IFERROR(SUMIFS(Movimentações!$G$4:$G$461,Movimentações!$C$4:$C$461,A101,Movimentações!$D$4:$D$461,"Entrada")/B101,0))</f>
        <v/>
      </c>
      <c r="F101" s="3" t="str">
        <f t="shared" si="5"/>
        <v/>
      </c>
    </row>
  </sheetData>
  <conditionalFormatting sqref="B102:B1048576 B1">
    <cfRule type="duplicateValues" dxfId="3" priority="1"/>
  </conditionalFormatting>
  <conditionalFormatting sqref="D4:D101">
    <cfRule type="expression" dxfId="2" priority="2">
      <formula>D4&lt;=0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6E54-249D-4F4C-BE2A-DA6B45DB0D0F}">
  <dimension ref="A3:D59"/>
  <sheetViews>
    <sheetView showGridLines="0" topLeftCell="A3" workbookViewId="0">
      <selection activeCell="A6" sqref="A6"/>
    </sheetView>
  </sheetViews>
  <sheetFormatPr defaultRowHeight="14.25"/>
  <cols>
    <col min="1" max="1" width="42" bestFit="1" customWidth="1"/>
    <col min="2" max="2" width="10.625" style="7" customWidth="1"/>
    <col min="3" max="3" width="9" style="7"/>
    <col min="4" max="4" width="11.75" customWidth="1"/>
  </cols>
  <sheetData>
    <row r="3" spans="1:4" ht="29.25" customHeight="1">
      <c r="A3" s="14" t="s">
        <v>55</v>
      </c>
      <c r="B3" s="16" t="s">
        <v>84</v>
      </c>
      <c r="C3" s="16" t="s">
        <v>85</v>
      </c>
      <c r="D3" s="16" t="s">
        <v>86</v>
      </c>
    </row>
    <row r="4" spans="1:4">
      <c r="A4" s="15" t="s">
        <v>30</v>
      </c>
      <c r="B4" s="17">
        <v>4</v>
      </c>
      <c r="C4" s="17">
        <v>0</v>
      </c>
      <c r="D4" s="15">
        <f>B4-C4</f>
        <v>4</v>
      </c>
    </row>
    <row r="5" spans="1:4">
      <c r="A5" s="15" t="s">
        <v>14</v>
      </c>
      <c r="B5" s="17">
        <v>5</v>
      </c>
      <c r="C5" s="17">
        <v>3</v>
      </c>
      <c r="D5" s="15">
        <f t="shared" ref="D5:D59" si="0">B5-C5</f>
        <v>2</v>
      </c>
    </row>
    <row r="6" spans="1:4">
      <c r="A6" s="15" t="s">
        <v>36</v>
      </c>
      <c r="B6" s="17">
        <v>1</v>
      </c>
      <c r="C6" s="17">
        <v>1</v>
      </c>
      <c r="D6" s="15">
        <f t="shared" si="0"/>
        <v>0</v>
      </c>
    </row>
    <row r="7" spans="1:4">
      <c r="A7" s="15" t="s">
        <v>46</v>
      </c>
      <c r="B7" s="17">
        <v>750</v>
      </c>
      <c r="C7" s="17">
        <v>600</v>
      </c>
      <c r="D7" s="15">
        <f t="shared" si="0"/>
        <v>150</v>
      </c>
    </row>
    <row r="8" spans="1:4">
      <c r="A8" s="15" t="s">
        <v>22</v>
      </c>
      <c r="B8" s="17">
        <v>15</v>
      </c>
      <c r="C8" s="17">
        <v>0</v>
      </c>
      <c r="D8" s="15">
        <f t="shared" si="0"/>
        <v>15</v>
      </c>
    </row>
    <row r="9" spans="1:4">
      <c r="A9" s="15" t="s">
        <v>44</v>
      </c>
      <c r="B9" s="17">
        <v>80</v>
      </c>
      <c r="C9" s="17">
        <v>77</v>
      </c>
      <c r="D9" s="15">
        <f t="shared" si="0"/>
        <v>3</v>
      </c>
    </row>
    <row r="10" spans="1:4">
      <c r="A10" s="15" t="s">
        <v>35</v>
      </c>
      <c r="B10" s="17">
        <v>3</v>
      </c>
      <c r="C10" s="17">
        <v>0</v>
      </c>
      <c r="D10" s="15">
        <f t="shared" si="0"/>
        <v>3</v>
      </c>
    </row>
    <row r="11" spans="1:4">
      <c r="A11" s="15" t="s">
        <v>25</v>
      </c>
      <c r="B11" s="17">
        <v>3</v>
      </c>
      <c r="C11" s="17">
        <v>0</v>
      </c>
      <c r="D11" s="15">
        <f t="shared" si="0"/>
        <v>3</v>
      </c>
    </row>
    <row r="12" spans="1:4">
      <c r="A12" s="15" t="s">
        <v>24</v>
      </c>
      <c r="B12" s="17">
        <v>2</v>
      </c>
      <c r="C12" s="17">
        <v>0</v>
      </c>
      <c r="D12" s="15">
        <f t="shared" si="0"/>
        <v>2</v>
      </c>
    </row>
    <row r="13" spans="1:4">
      <c r="A13" s="15" t="s">
        <v>17</v>
      </c>
      <c r="B13" s="17">
        <v>25</v>
      </c>
      <c r="C13" s="17">
        <v>9</v>
      </c>
      <c r="D13" s="15">
        <f t="shared" si="0"/>
        <v>16</v>
      </c>
    </row>
    <row r="14" spans="1:4">
      <c r="A14" s="15" t="s">
        <v>15</v>
      </c>
      <c r="B14" s="17">
        <v>10</v>
      </c>
      <c r="C14" s="17">
        <v>8</v>
      </c>
      <c r="D14" s="15">
        <f t="shared" si="0"/>
        <v>2</v>
      </c>
    </row>
    <row r="15" spans="1:4">
      <c r="A15" s="15" t="s">
        <v>45</v>
      </c>
      <c r="B15" s="17">
        <v>250</v>
      </c>
      <c r="C15" s="17">
        <v>250</v>
      </c>
      <c r="D15" s="15">
        <f t="shared" si="0"/>
        <v>0</v>
      </c>
    </row>
    <row r="16" spans="1:4">
      <c r="A16" s="15" t="s">
        <v>47</v>
      </c>
      <c r="B16" s="17">
        <v>250</v>
      </c>
      <c r="C16" s="17">
        <v>250</v>
      </c>
      <c r="D16" s="15">
        <f t="shared" si="0"/>
        <v>0</v>
      </c>
    </row>
    <row r="17" spans="1:4">
      <c r="A17" s="15" t="s">
        <v>19</v>
      </c>
      <c r="B17" s="17">
        <v>10</v>
      </c>
      <c r="C17" s="17">
        <v>0</v>
      </c>
      <c r="D17" s="15">
        <f t="shared" si="0"/>
        <v>10</v>
      </c>
    </row>
    <row r="18" spans="1:4">
      <c r="A18" s="15" t="s">
        <v>16</v>
      </c>
      <c r="B18" s="17">
        <v>10</v>
      </c>
      <c r="C18" s="17">
        <v>5</v>
      </c>
      <c r="D18" s="15">
        <f t="shared" si="0"/>
        <v>5</v>
      </c>
    </row>
    <row r="19" spans="1:4">
      <c r="A19" s="15" t="s">
        <v>37</v>
      </c>
      <c r="B19" s="17">
        <v>1</v>
      </c>
      <c r="C19" s="17">
        <v>0</v>
      </c>
      <c r="D19" s="15">
        <f t="shared" si="0"/>
        <v>1</v>
      </c>
    </row>
    <row r="20" spans="1:4">
      <c r="A20" s="15" t="s">
        <v>38</v>
      </c>
      <c r="B20" s="17">
        <v>2</v>
      </c>
      <c r="C20" s="17">
        <v>0</v>
      </c>
      <c r="D20" s="15">
        <f t="shared" si="0"/>
        <v>2</v>
      </c>
    </row>
    <row r="21" spans="1:4">
      <c r="A21" s="15" t="s">
        <v>32</v>
      </c>
      <c r="B21" s="17">
        <v>1</v>
      </c>
      <c r="C21" s="17">
        <v>0</v>
      </c>
      <c r="D21" s="15">
        <f t="shared" si="0"/>
        <v>1</v>
      </c>
    </row>
    <row r="22" spans="1:4">
      <c r="A22" s="15" t="s">
        <v>27</v>
      </c>
      <c r="B22" s="17">
        <v>2</v>
      </c>
      <c r="C22" s="17">
        <v>0</v>
      </c>
      <c r="D22" s="15">
        <f t="shared" si="0"/>
        <v>2</v>
      </c>
    </row>
    <row r="23" spans="1:4">
      <c r="A23" s="15" t="s">
        <v>26</v>
      </c>
      <c r="B23" s="17">
        <v>2</v>
      </c>
      <c r="C23" s="17">
        <v>0</v>
      </c>
      <c r="D23" s="15">
        <f t="shared" si="0"/>
        <v>2</v>
      </c>
    </row>
    <row r="24" spans="1:4">
      <c r="A24" s="15" t="s">
        <v>33</v>
      </c>
      <c r="B24" s="17">
        <v>2</v>
      </c>
      <c r="C24" s="17">
        <v>0</v>
      </c>
      <c r="D24" s="15">
        <f t="shared" si="0"/>
        <v>2</v>
      </c>
    </row>
    <row r="25" spans="1:4">
      <c r="A25" s="15" t="s">
        <v>34</v>
      </c>
      <c r="B25" s="17">
        <v>2</v>
      </c>
      <c r="C25" s="17">
        <v>0</v>
      </c>
      <c r="D25" s="15">
        <f t="shared" si="0"/>
        <v>2</v>
      </c>
    </row>
    <row r="26" spans="1:4">
      <c r="A26" s="15" t="s">
        <v>28</v>
      </c>
      <c r="B26" s="17">
        <v>3</v>
      </c>
      <c r="C26" s="17">
        <v>0</v>
      </c>
      <c r="D26" s="15">
        <f t="shared" si="0"/>
        <v>3</v>
      </c>
    </row>
    <row r="27" spans="1:4">
      <c r="A27" s="15" t="s">
        <v>31</v>
      </c>
      <c r="B27" s="17">
        <v>48</v>
      </c>
      <c r="C27" s="17">
        <v>48</v>
      </c>
      <c r="D27" s="15">
        <f t="shared" si="0"/>
        <v>0</v>
      </c>
    </row>
    <row r="28" spans="1:4">
      <c r="A28" s="15" t="s">
        <v>43</v>
      </c>
      <c r="B28" s="17">
        <v>400</v>
      </c>
      <c r="C28" s="17">
        <v>0</v>
      </c>
      <c r="D28" s="15">
        <f t="shared" si="0"/>
        <v>400</v>
      </c>
    </row>
    <row r="29" spans="1:4">
      <c r="A29" s="15" t="s">
        <v>18</v>
      </c>
      <c r="B29" s="17">
        <v>5</v>
      </c>
      <c r="C29" s="17">
        <v>0</v>
      </c>
      <c r="D29" s="15">
        <f t="shared" si="0"/>
        <v>5</v>
      </c>
    </row>
    <row r="30" spans="1:4">
      <c r="A30" s="15" t="s">
        <v>21</v>
      </c>
      <c r="B30" s="17">
        <v>4</v>
      </c>
      <c r="C30" s="17">
        <v>0</v>
      </c>
      <c r="D30" s="15">
        <f t="shared" si="0"/>
        <v>4</v>
      </c>
    </row>
    <row r="31" spans="1:4">
      <c r="A31" s="15" t="s">
        <v>13</v>
      </c>
      <c r="B31" s="17">
        <v>1</v>
      </c>
      <c r="C31" s="17">
        <v>8</v>
      </c>
      <c r="D31" s="15">
        <f t="shared" si="0"/>
        <v>-7</v>
      </c>
    </row>
    <row r="32" spans="1:4">
      <c r="A32" s="15" t="s">
        <v>29</v>
      </c>
      <c r="B32" s="17">
        <v>1</v>
      </c>
      <c r="C32" s="17">
        <v>0</v>
      </c>
      <c r="D32" s="15">
        <f t="shared" si="0"/>
        <v>1</v>
      </c>
    </row>
    <row r="33" spans="1:4">
      <c r="A33" s="15" t="s">
        <v>20</v>
      </c>
      <c r="B33" s="17">
        <v>2</v>
      </c>
      <c r="C33" s="17">
        <v>0</v>
      </c>
      <c r="D33" s="15">
        <f t="shared" si="0"/>
        <v>2</v>
      </c>
    </row>
    <row r="34" spans="1:4">
      <c r="A34" s="15" t="s">
        <v>23</v>
      </c>
      <c r="B34" s="17">
        <v>4</v>
      </c>
      <c r="C34" s="17">
        <v>0</v>
      </c>
      <c r="D34" s="15">
        <f t="shared" si="0"/>
        <v>4</v>
      </c>
    </row>
    <row r="35" spans="1:4">
      <c r="A35" s="15" t="s">
        <v>11</v>
      </c>
      <c r="B35" s="17">
        <v>10</v>
      </c>
      <c r="C35" s="17">
        <v>0</v>
      </c>
      <c r="D35" s="15">
        <f t="shared" si="0"/>
        <v>10</v>
      </c>
    </row>
    <row r="36" spans="1:4">
      <c r="A36" s="15" t="s">
        <v>12</v>
      </c>
      <c r="B36" s="17">
        <v>10</v>
      </c>
      <c r="C36" s="17">
        <v>3</v>
      </c>
      <c r="D36" s="15">
        <f t="shared" si="0"/>
        <v>7</v>
      </c>
    </row>
    <row r="37" spans="1:4">
      <c r="A37" s="15" t="s">
        <v>53</v>
      </c>
      <c r="B37" s="17">
        <v>0</v>
      </c>
      <c r="C37" s="17">
        <v>0</v>
      </c>
      <c r="D37" s="15">
        <f t="shared" si="0"/>
        <v>0</v>
      </c>
    </row>
    <row r="38" spans="1:4">
      <c r="A38" s="15" t="s">
        <v>59</v>
      </c>
      <c r="B38" s="17">
        <v>60</v>
      </c>
      <c r="C38" s="17">
        <v>32</v>
      </c>
      <c r="D38" s="15">
        <f t="shared" si="0"/>
        <v>28</v>
      </c>
    </row>
    <row r="39" spans="1:4">
      <c r="A39" s="15" t="s">
        <v>60</v>
      </c>
      <c r="B39" s="17">
        <v>180</v>
      </c>
      <c r="C39" s="17">
        <v>129</v>
      </c>
      <c r="D39" s="15">
        <f t="shared" si="0"/>
        <v>51</v>
      </c>
    </row>
    <row r="40" spans="1:4">
      <c r="A40" s="15" t="s">
        <v>62</v>
      </c>
      <c r="B40" s="17">
        <v>8</v>
      </c>
      <c r="C40" s="17">
        <v>7</v>
      </c>
      <c r="D40" s="15">
        <f t="shared" si="0"/>
        <v>1</v>
      </c>
    </row>
    <row r="41" spans="1:4">
      <c r="A41" s="15" t="s">
        <v>63</v>
      </c>
      <c r="B41" s="17">
        <v>5</v>
      </c>
      <c r="C41" s="17">
        <v>0</v>
      </c>
      <c r="D41" s="15">
        <f t="shared" si="0"/>
        <v>5</v>
      </c>
    </row>
    <row r="42" spans="1:4">
      <c r="A42" s="15" t="s">
        <v>64</v>
      </c>
      <c r="B42" s="17">
        <v>2</v>
      </c>
      <c r="C42" s="17">
        <v>1</v>
      </c>
      <c r="D42" s="15">
        <f t="shared" si="0"/>
        <v>1</v>
      </c>
    </row>
    <row r="43" spans="1:4">
      <c r="A43" s="15" t="s">
        <v>65</v>
      </c>
      <c r="B43" s="17">
        <v>5</v>
      </c>
      <c r="C43" s="17">
        <v>3</v>
      </c>
      <c r="D43" s="15">
        <f t="shared" si="0"/>
        <v>2</v>
      </c>
    </row>
    <row r="44" spans="1:4">
      <c r="A44" s="15" t="s">
        <v>66</v>
      </c>
      <c r="B44" s="17">
        <v>20</v>
      </c>
      <c r="C44" s="17">
        <v>16</v>
      </c>
      <c r="D44" s="15">
        <f t="shared" si="0"/>
        <v>4</v>
      </c>
    </row>
    <row r="45" spans="1:4">
      <c r="A45" s="15" t="s">
        <v>67</v>
      </c>
      <c r="B45" s="17">
        <v>5</v>
      </c>
      <c r="C45" s="17">
        <v>2</v>
      </c>
      <c r="D45" s="15">
        <f t="shared" si="0"/>
        <v>3</v>
      </c>
    </row>
    <row r="46" spans="1:4">
      <c r="A46" s="15" t="s">
        <v>68</v>
      </c>
      <c r="B46" s="17">
        <v>4</v>
      </c>
      <c r="C46" s="17">
        <v>1</v>
      </c>
      <c r="D46" s="15">
        <f t="shared" si="0"/>
        <v>3</v>
      </c>
    </row>
    <row r="47" spans="1:4">
      <c r="A47" s="15" t="s">
        <v>71</v>
      </c>
      <c r="B47" s="17">
        <v>14</v>
      </c>
      <c r="C47" s="17">
        <v>11</v>
      </c>
      <c r="D47" s="15">
        <f t="shared" si="0"/>
        <v>3</v>
      </c>
    </row>
    <row r="48" spans="1:4">
      <c r="A48" s="15" t="s">
        <v>72</v>
      </c>
      <c r="B48" s="17">
        <v>14</v>
      </c>
      <c r="C48" s="17">
        <v>11</v>
      </c>
      <c r="D48" s="15">
        <f t="shared" si="0"/>
        <v>3</v>
      </c>
    </row>
    <row r="49" spans="1:4">
      <c r="A49" s="15" t="s">
        <v>73</v>
      </c>
      <c r="B49" s="17">
        <v>14</v>
      </c>
      <c r="C49" s="17">
        <v>9</v>
      </c>
      <c r="D49" s="15">
        <f t="shared" si="0"/>
        <v>5</v>
      </c>
    </row>
    <row r="50" spans="1:4">
      <c r="A50" s="15" t="s">
        <v>74</v>
      </c>
      <c r="B50" s="17">
        <v>4</v>
      </c>
      <c r="C50" s="17">
        <v>2</v>
      </c>
      <c r="D50" s="15">
        <f t="shared" si="0"/>
        <v>2</v>
      </c>
    </row>
    <row r="51" spans="1:4">
      <c r="A51" s="15" t="s">
        <v>75</v>
      </c>
      <c r="B51" s="17">
        <v>14</v>
      </c>
      <c r="C51" s="17">
        <v>12</v>
      </c>
      <c r="D51" s="15">
        <f t="shared" si="0"/>
        <v>2</v>
      </c>
    </row>
    <row r="52" spans="1:4">
      <c r="A52" s="15" t="s">
        <v>76</v>
      </c>
      <c r="B52" s="17">
        <v>5</v>
      </c>
      <c r="C52" s="17">
        <v>0</v>
      </c>
      <c r="D52" s="15">
        <f t="shared" si="0"/>
        <v>5</v>
      </c>
    </row>
    <row r="53" spans="1:4">
      <c r="A53" s="15" t="s">
        <v>78</v>
      </c>
      <c r="B53" s="17">
        <v>6</v>
      </c>
      <c r="C53" s="17">
        <v>6</v>
      </c>
      <c r="D53" s="15">
        <f t="shared" si="0"/>
        <v>0</v>
      </c>
    </row>
    <row r="54" spans="1:4">
      <c r="A54" s="15" t="s">
        <v>77</v>
      </c>
      <c r="B54" s="17">
        <v>5</v>
      </c>
      <c r="C54" s="17">
        <v>5</v>
      </c>
      <c r="D54" s="15">
        <f t="shared" si="0"/>
        <v>0</v>
      </c>
    </row>
    <row r="55" spans="1:4">
      <c r="A55" s="15" t="s">
        <v>79</v>
      </c>
      <c r="B55" s="17">
        <v>10</v>
      </c>
      <c r="C55" s="17">
        <v>7</v>
      </c>
      <c r="D55" s="15">
        <f t="shared" si="0"/>
        <v>3</v>
      </c>
    </row>
    <row r="56" spans="1:4">
      <c r="A56" s="15" t="s">
        <v>80</v>
      </c>
      <c r="B56" s="17">
        <v>5</v>
      </c>
      <c r="C56" s="17">
        <v>2</v>
      </c>
      <c r="D56" s="15">
        <f t="shared" si="0"/>
        <v>3</v>
      </c>
    </row>
    <row r="57" spans="1:4">
      <c r="A57" s="15" t="s">
        <v>81</v>
      </c>
      <c r="B57" s="17">
        <v>10</v>
      </c>
      <c r="C57" s="17">
        <v>7</v>
      </c>
      <c r="D57" s="15">
        <f t="shared" si="0"/>
        <v>3</v>
      </c>
    </row>
    <row r="58" spans="1:4">
      <c r="A58" s="15" t="s">
        <v>82</v>
      </c>
      <c r="B58" s="17">
        <v>2</v>
      </c>
      <c r="C58" s="17">
        <v>2</v>
      </c>
      <c r="D58" s="15">
        <f t="shared" si="0"/>
        <v>0</v>
      </c>
    </row>
    <row r="59" spans="1:4">
      <c r="A59" s="15" t="s">
        <v>83</v>
      </c>
      <c r="B59" s="17">
        <v>4</v>
      </c>
      <c r="C59" s="17">
        <v>4</v>
      </c>
      <c r="D59" s="15">
        <f t="shared" si="0"/>
        <v>0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Movimentações</vt:lpstr>
      <vt:lpstr>Resumo de Estoque</vt:lpstr>
      <vt:lpstr>Inventário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Raimundo Elias</cp:lastModifiedBy>
  <cp:lastPrinted>2026-09-28T12:50:01Z</cp:lastPrinted>
  <dcterms:created xsi:type="dcterms:W3CDTF">2026-09-21T19:38:24Z</dcterms:created>
  <dcterms:modified xsi:type="dcterms:W3CDTF">2026-09-29T12:39:30Z</dcterms:modified>
</cp:coreProperties>
</file>